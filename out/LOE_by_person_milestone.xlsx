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E Table" sheetId="1" state="visible" r:id="rId1"/>
    <sheet xmlns:r="http://schemas.openxmlformats.org/officeDocument/2006/relationships" name="Totals by Person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OE" displayName="LOE" ref="A1:F1594" headerRowCount="1">
  <autoFilter ref="A1:F1594"/>
  <tableColumns count="6">
    <tableColumn id="1" name="Person"/>
    <tableColumn id="2" name="Budget"/>
    <tableColumn id="3" name="Milestone"/>
    <tableColumn id="4" name="LOE (days)"/>
    <tableColumn id="5" name="Role / Position"/>
    <tableColumn id="6" name="Person Total LOE (all budgets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44" customWidth="1" min="5" max="5"/>
    <col width="18" customWidth="1" min="6" max="6"/>
  </cols>
  <sheetData>
    <row r="1">
      <c r="A1" t="inlineStr">
        <is>
          <t>Person</t>
        </is>
      </c>
      <c r="B1" t="inlineStr">
        <is>
          <t>Budget</t>
        </is>
      </c>
      <c r="C1" t="inlineStr">
        <is>
          <t>Milestone</t>
        </is>
      </c>
      <c r="D1" t="inlineStr">
        <is>
          <t>LOE (days)</t>
        </is>
      </c>
      <c r="E1" t="inlineStr">
        <is>
          <t>Role / Position</t>
        </is>
      </c>
      <c r="F1" t="inlineStr">
        <is>
          <t>Person Total LOE (all budgets)</t>
        </is>
      </c>
    </row>
    <row r="2">
      <c r="A2" t="inlineStr">
        <is>
          <t>Mawandia, Shreshth</t>
        </is>
      </c>
      <c r="B2" t="inlineStr">
        <is>
          <t>Botswana</t>
        </is>
      </c>
      <c r="C2" t="inlineStr">
        <is>
          <t>BOT01</t>
        </is>
      </c>
      <c r="D2" t="n">
        <v>0.5</v>
      </c>
      <c r="E2" t="inlineStr">
        <is>
          <t>KP - Project Director</t>
        </is>
      </c>
      <c r="F2">
        <f>SUMIF($A$2:$A$1594,A2,$D$2:$D$1594)</f>
        <v/>
      </c>
    </row>
    <row r="3">
      <c r="A3" t="inlineStr">
        <is>
          <t>Mawandia, Shreshth</t>
        </is>
      </c>
      <c r="B3" t="inlineStr">
        <is>
          <t>Botswana</t>
        </is>
      </c>
      <c r="C3" t="inlineStr">
        <is>
          <t>BOT02</t>
        </is>
      </c>
      <c r="D3" t="n">
        <v>0.5</v>
      </c>
      <c r="E3" t="inlineStr">
        <is>
          <t>KP - Project Director</t>
        </is>
      </c>
      <c r="F3">
        <f>SUMIF($A$2:$A$1594,A3,$D$2:$D$1594)</f>
        <v/>
      </c>
    </row>
    <row r="4">
      <c r="A4" t="inlineStr">
        <is>
          <t>Mawandia, Shreshth</t>
        </is>
      </c>
      <c r="B4" t="inlineStr">
        <is>
          <t>Botswana</t>
        </is>
      </c>
      <c r="C4" t="inlineStr">
        <is>
          <t>BOT03</t>
        </is>
      </c>
      <c r="D4" t="n">
        <v>0.5</v>
      </c>
      <c r="E4" t="inlineStr">
        <is>
          <t>KP - Project Director</t>
        </is>
      </c>
      <c r="F4">
        <f>SUMIF($A$2:$A$1594,A4,$D$2:$D$1594)</f>
        <v/>
      </c>
    </row>
    <row r="5">
      <c r="A5" t="inlineStr">
        <is>
          <t>Mawandia, Shreshth</t>
        </is>
      </c>
      <c r="B5" t="inlineStr">
        <is>
          <t>Botswana</t>
        </is>
      </c>
      <c r="C5" t="inlineStr">
        <is>
          <t>BOT04</t>
        </is>
      </c>
      <c r="D5" t="n">
        <v>0.5</v>
      </c>
      <c r="E5" t="inlineStr">
        <is>
          <t>KP - Project Director</t>
        </is>
      </c>
      <c r="F5">
        <f>SUMIF($A$2:$A$1594,A5,$D$2:$D$1594)</f>
        <v/>
      </c>
    </row>
    <row r="6">
      <c r="A6" t="inlineStr">
        <is>
          <t>Mawandia, Shreshth</t>
        </is>
      </c>
      <c r="B6" t="inlineStr">
        <is>
          <t>Botswana</t>
        </is>
      </c>
      <c r="C6" t="inlineStr">
        <is>
          <t>BOT05</t>
        </is>
      </c>
      <c r="D6" t="n">
        <v>0.5</v>
      </c>
      <c r="E6" t="inlineStr">
        <is>
          <t>KP - Project Director</t>
        </is>
      </c>
      <c r="F6">
        <f>SUMIF($A$2:$A$1594,A6,$D$2:$D$1594)</f>
        <v/>
      </c>
    </row>
    <row r="7">
      <c r="A7" t="inlineStr">
        <is>
          <t>Mawandia, Shreshth</t>
        </is>
      </c>
      <c r="B7" t="inlineStr">
        <is>
          <t>Botswana</t>
        </is>
      </c>
      <c r="C7" t="inlineStr">
        <is>
          <t>BOT06</t>
        </is>
      </c>
      <c r="D7" t="n">
        <v>0.5</v>
      </c>
      <c r="E7" t="inlineStr">
        <is>
          <t>KP - Project Director</t>
        </is>
      </c>
      <c r="F7">
        <f>SUMIF($A$2:$A$1594,A7,$D$2:$D$1594)</f>
        <v/>
      </c>
    </row>
    <row r="8">
      <c r="A8" t="inlineStr">
        <is>
          <t>Nigussie, Netsanet</t>
        </is>
      </c>
      <c r="B8" t="inlineStr">
        <is>
          <t>Botswana</t>
        </is>
      </c>
      <c r="C8" t="inlineStr">
        <is>
          <t>BOT01</t>
        </is>
      </c>
      <c r="D8" t="n">
        <v>0.5</v>
      </c>
      <c r="E8" t="inlineStr">
        <is>
          <t>KP - Technical Director</t>
        </is>
      </c>
      <c r="F8">
        <f>SUMIF($A$2:$A$1594,A8,$D$2:$D$1594)</f>
        <v/>
      </c>
    </row>
    <row r="9">
      <c r="A9" t="inlineStr">
        <is>
          <t>Nigussie, Netsanet</t>
        </is>
      </c>
      <c r="B9" t="inlineStr">
        <is>
          <t>Botswana</t>
        </is>
      </c>
      <c r="C9" t="inlineStr">
        <is>
          <t>BOT02</t>
        </is>
      </c>
      <c r="D9" t="n">
        <v>0.5</v>
      </c>
      <c r="E9" t="inlineStr">
        <is>
          <t>KP - Technical Director</t>
        </is>
      </c>
      <c r="F9">
        <f>SUMIF($A$2:$A$1594,A9,$D$2:$D$1594)</f>
        <v/>
      </c>
    </row>
    <row r="10">
      <c r="A10" t="inlineStr">
        <is>
          <t>Nigussie, Netsanet</t>
        </is>
      </c>
      <c r="B10" t="inlineStr">
        <is>
          <t>Botswana</t>
        </is>
      </c>
      <c r="C10" t="inlineStr">
        <is>
          <t>BOT03</t>
        </is>
      </c>
      <c r="D10" t="n">
        <v>0.5</v>
      </c>
      <c r="E10" t="inlineStr">
        <is>
          <t>KP - Technical Director</t>
        </is>
      </c>
      <c r="F10">
        <f>SUMIF($A$2:$A$1594,A10,$D$2:$D$1594)</f>
        <v/>
      </c>
    </row>
    <row r="11">
      <c r="A11" t="inlineStr">
        <is>
          <t>Nigussie, Netsanet</t>
        </is>
      </c>
      <c r="B11" t="inlineStr">
        <is>
          <t>Botswana</t>
        </is>
      </c>
      <c r="C11" t="inlineStr">
        <is>
          <t>BOT04</t>
        </is>
      </c>
      <c r="D11" t="n">
        <v>0.5</v>
      </c>
      <c r="E11" t="inlineStr">
        <is>
          <t>KP - Technical Director</t>
        </is>
      </c>
      <c r="F11">
        <f>SUMIF($A$2:$A$1594,A11,$D$2:$D$1594)</f>
        <v/>
      </c>
    </row>
    <row r="12">
      <c r="A12" t="inlineStr">
        <is>
          <t>Nigussie, Netsanet</t>
        </is>
      </c>
      <c r="B12" t="inlineStr">
        <is>
          <t>Botswana</t>
        </is>
      </c>
      <c r="C12" t="inlineStr">
        <is>
          <t>BOT05</t>
        </is>
      </c>
      <c r="D12" t="n">
        <v>0.5</v>
      </c>
      <c r="E12" t="inlineStr">
        <is>
          <t>KP - Technical Director</t>
        </is>
      </c>
      <c r="F12">
        <f>SUMIF($A$2:$A$1594,A12,$D$2:$D$1594)</f>
        <v/>
      </c>
    </row>
    <row r="13">
      <c r="A13" t="inlineStr">
        <is>
          <t>Nigussie, Netsanet</t>
        </is>
      </c>
      <c r="B13" t="inlineStr">
        <is>
          <t>Botswana</t>
        </is>
      </c>
      <c r="C13" t="inlineStr">
        <is>
          <t>BOT06</t>
        </is>
      </c>
      <c r="D13" t="n">
        <v>0.5</v>
      </c>
      <c r="E13" t="inlineStr">
        <is>
          <t>KP - Technical Director</t>
        </is>
      </c>
      <c r="F13">
        <f>SUMIF($A$2:$A$1594,A13,$D$2:$D$1594)</f>
        <v/>
      </c>
    </row>
    <row r="14">
      <c r="A14" t="inlineStr">
        <is>
          <t>Mensah, Margaret</t>
        </is>
      </c>
      <c r="B14" t="inlineStr">
        <is>
          <t>Botswana</t>
        </is>
      </c>
      <c r="C14" t="inlineStr">
        <is>
          <t>BOT01</t>
        </is>
      </c>
      <c r="D14" t="n">
        <v>0.5</v>
      </c>
      <c r="E14" t="inlineStr">
        <is>
          <t>KP - Finance Director</t>
        </is>
      </c>
      <c r="F14">
        <f>SUMIF($A$2:$A$1594,A14,$D$2:$D$1594)</f>
        <v/>
      </c>
    </row>
    <row r="15">
      <c r="A15" t="inlineStr">
        <is>
          <t>Mensah, Margaret</t>
        </is>
      </c>
      <c r="B15" t="inlineStr">
        <is>
          <t>Botswana</t>
        </is>
      </c>
      <c r="C15" t="inlineStr">
        <is>
          <t>BOT02</t>
        </is>
      </c>
      <c r="D15" t="n">
        <v>0.5</v>
      </c>
      <c r="E15" t="inlineStr">
        <is>
          <t>KP - Finance Director</t>
        </is>
      </c>
      <c r="F15">
        <f>SUMIF($A$2:$A$1594,A15,$D$2:$D$1594)</f>
        <v/>
      </c>
    </row>
    <row r="16">
      <c r="A16" t="inlineStr">
        <is>
          <t>Mensah, Margaret</t>
        </is>
      </c>
      <c r="B16" t="inlineStr">
        <is>
          <t>Botswana</t>
        </is>
      </c>
      <c r="C16" t="inlineStr">
        <is>
          <t>BOT03</t>
        </is>
      </c>
      <c r="D16" t="n">
        <v>0.5</v>
      </c>
      <c r="E16" t="inlineStr">
        <is>
          <t>KP - Finance Director</t>
        </is>
      </c>
      <c r="F16">
        <f>SUMIF($A$2:$A$1594,A16,$D$2:$D$1594)</f>
        <v/>
      </c>
    </row>
    <row r="17">
      <c r="A17" t="inlineStr">
        <is>
          <t>Mensah, Margaret</t>
        </is>
      </c>
      <c r="B17" t="inlineStr">
        <is>
          <t>Botswana</t>
        </is>
      </c>
      <c r="C17" t="inlineStr">
        <is>
          <t>BOT04</t>
        </is>
      </c>
      <c r="D17" t="n">
        <v>0.5</v>
      </c>
      <c r="E17" t="inlineStr">
        <is>
          <t>KP - Finance Director</t>
        </is>
      </c>
      <c r="F17">
        <f>SUMIF($A$2:$A$1594,A17,$D$2:$D$1594)</f>
        <v/>
      </c>
    </row>
    <row r="18">
      <c r="A18" t="inlineStr">
        <is>
          <t>Mensah, Margaret</t>
        </is>
      </c>
      <c r="B18" t="inlineStr">
        <is>
          <t>Botswana</t>
        </is>
      </c>
      <c r="C18" t="inlineStr">
        <is>
          <t>BOT05</t>
        </is>
      </c>
      <c r="D18" t="n">
        <v>0.5</v>
      </c>
      <c r="E18" t="inlineStr">
        <is>
          <t>KP - Finance Director</t>
        </is>
      </c>
      <c r="F18">
        <f>SUMIF($A$2:$A$1594,A18,$D$2:$D$1594)</f>
        <v/>
      </c>
    </row>
    <row r="19">
      <c r="A19" t="inlineStr">
        <is>
          <t>Mensah, Margaret</t>
        </is>
      </c>
      <c r="B19" t="inlineStr">
        <is>
          <t>Botswana</t>
        </is>
      </c>
      <c r="C19" t="inlineStr">
        <is>
          <t>BOT06</t>
        </is>
      </c>
      <c r="D19" t="n">
        <v>0.5</v>
      </c>
      <c r="E19" t="inlineStr">
        <is>
          <t>KP - Finance Director</t>
        </is>
      </c>
      <c r="F19">
        <f>SUMIF($A$2:$A$1594,A19,$D$2:$D$1594)</f>
        <v/>
      </c>
    </row>
    <row r="20">
      <c r="A20" t="inlineStr">
        <is>
          <t>Friedman, Jonathan</t>
        </is>
      </c>
      <c r="B20" t="inlineStr">
        <is>
          <t>Botswana</t>
        </is>
      </c>
      <c r="C20" t="inlineStr">
        <is>
          <t>BOT01</t>
        </is>
      </c>
      <c r="D20" t="n">
        <v>0.67</v>
      </c>
      <c r="E20" t="inlineStr">
        <is>
          <t>AI/ML Lead</t>
        </is>
      </c>
      <c r="F20">
        <f>SUMIF($A$2:$A$1594,A20,$D$2:$D$1594)</f>
        <v/>
      </c>
    </row>
    <row r="21">
      <c r="A21" t="inlineStr">
        <is>
          <t>Friedman, Jonathan</t>
        </is>
      </c>
      <c r="B21" t="inlineStr">
        <is>
          <t>Botswana</t>
        </is>
      </c>
      <c r="C21" t="inlineStr">
        <is>
          <t>BOT02</t>
        </is>
      </c>
      <c r="D21" t="n">
        <v>0.67</v>
      </c>
      <c r="E21" t="inlineStr">
        <is>
          <t>AI/ML Lead</t>
        </is>
      </c>
      <c r="F21">
        <f>SUMIF($A$2:$A$1594,A21,$D$2:$D$1594)</f>
        <v/>
      </c>
    </row>
    <row r="22">
      <c r="A22" t="inlineStr">
        <is>
          <t>Friedman, Jonathan</t>
        </is>
      </c>
      <c r="B22" t="inlineStr">
        <is>
          <t>Botswana</t>
        </is>
      </c>
      <c r="C22" t="inlineStr">
        <is>
          <t>BOT03</t>
        </is>
      </c>
      <c r="D22" t="n">
        <v>0.67</v>
      </c>
      <c r="E22" t="inlineStr">
        <is>
          <t>AI/ML Lead</t>
        </is>
      </c>
      <c r="F22">
        <f>SUMIF($A$2:$A$1594,A22,$D$2:$D$1594)</f>
        <v/>
      </c>
    </row>
    <row r="23">
      <c r="A23" t="inlineStr">
        <is>
          <t>Friedman, Jonathan</t>
        </is>
      </c>
      <c r="B23" t="inlineStr">
        <is>
          <t>Botswana</t>
        </is>
      </c>
      <c r="C23" t="inlineStr">
        <is>
          <t>BOT04</t>
        </is>
      </c>
      <c r="D23" t="n">
        <v>0.67</v>
      </c>
      <c r="E23" t="inlineStr">
        <is>
          <t>AI/ML Lead</t>
        </is>
      </c>
      <c r="F23">
        <f>SUMIF($A$2:$A$1594,A23,$D$2:$D$1594)</f>
        <v/>
      </c>
    </row>
    <row r="24">
      <c r="A24" t="inlineStr">
        <is>
          <t>Friedman, Jonathan</t>
        </is>
      </c>
      <c r="B24" t="inlineStr">
        <is>
          <t>Botswana</t>
        </is>
      </c>
      <c r="C24" t="inlineStr">
        <is>
          <t>BOT05</t>
        </is>
      </c>
      <c r="D24" t="n">
        <v>0.66</v>
      </c>
      <c r="E24" t="inlineStr">
        <is>
          <t>AI/ML Lead</t>
        </is>
      </c>
      <c r="F24">
        <f>SUMIF($A$2:$A$1594,A24,$D$2:$D$1594)</f>
        <v/>
      </c>
    </row>
    <row r="25">
      <c r="A25" t="inlineStr">
        <is>
          <t>Friedman, Jonathan</t>
        </is>
      </c>
      <c r="B25" t="inlineStr">
        <is>
          <t>Botswana</t>
        </is>
      </c>
      <c r="C25" t="inlineStr">
        <is>
          <t>BOT06</t>
        </is>
      </c>
      <c r="D25" t="n">
        <v>0.66</v>
      </c>
      <c r="E25" t="inlineStr">
        <is>
          <t>AI/ML Lead</t>
        </is>
      </c>
      <c r="F25">
        <f>SUMIF($A$2:$A$1594,A25,$D$2:$D$1594)</f>
        <v/>
      </c>
    </row>
    <row r="26">
      <c r="A26" t="inlineStr">
        <is>
          <t>Mavyuva, Boniface</t>
        </is>
      </c>
      <c r="B26" t="inlineStr">
        <is>
          <t>Botswana</t>
        </is>
      </c>
      <c r="C26" t="inlineStr">
        <is>
          <t>BOT01</t>
        </is>
      </c>
      <c r="D26" t="n">
        <v>0.34</v>
      </c>
      <c r="E26" t="inlineStr">
        <is>
          <t>Dig Infrastructure Lead</t>
        </is>
      </c>
      <c r="F26">
        <f>SUMIF($A$2:$A$1594,A26,$D$2:$D$1594)</f>
        <v/>
      </c>
    </row>
    <row r="27">
      <c r="A27" t="inlineStr">
        <is>
          <t>Mavyuva, Boniface</t>
        </is>
      </c>
      <c r="B27" t="inlineStr">
        <is>
          <t>Botswana</t>
        </is>
      </c>
      <c r="C27" t="inlineStr">
        <is>
          <t>BOT02</t>
        </is>
      </c>
      <c r="D27" t="n">
        <v>0.34</v>
      </c>
      <c r="E27" t="inlineStr">
        <is>
          <t>Dig Infrastructure Lead</t>
        </is>
      </c>
      <c r="F27">
        <f>SUMIF($A$2:$A$1594,A27,$D$2:$D$1594)</f>
        <v/>
      </c>
    </row>
    <row r="28">
      <c r="A28" t="inlineStr">
        <is>
          <t>Mavyuva, Boniface</t>
        </is>
      </c>
      <c r="B28" t="inlineStr">
        <is>
          <t>Botswana</t>
        </is>
      </c>
      <c r="C28" t="inlineStr">
        <is>
          <t>BOT03</t>
        </is>
      </c>
      <c r="D28" t="n">
        <v>0.33</v>
      </c>
      <c r="E28" t="inlineStr">
        <is>
          <t>Dig Infrastructure Lead</t>
        </is>
      </c>
      <c r="F28">
        <f>SUMIF($A$2:$A$1594,A28,$D$2:$D$1594)</f>
        <v/>
      </c>
    </row>
    <row r="29">
      <c r="A29" t="inlineStr">
        <is>
          <t>Mavyuva, Boniface</t>
        </is>
      </c>
      <c r="B29" t="inlineStr">
        <is>
          <t>Botswana</t>
        </is>
      </c>
      <c r="C29" t="inlineStr">
        <is>
          <t>BOT04</t>
        </is>
      </c>
      <c r="D29" t="n">
        <v>0.33</v>
      </c>
      <c r="E29" t="inlineStr">
        <is>
          <t>Dig Infrastructure Lead</t>
        </is>
      </c>
      <c r="F29">
        <f>SUMIF($A$2:$A$1594,A29,$D$2:$D$1594)</f>
        <v/>
      </c>
    </row>
    <row r="30">
      <c r="A30" t="inlineStr">
        <is>
          <t>Mavyuva, Boniface</t>
        </is>
      </c>
      <c r="B30" t="inlineStr">
        <is>
          <t>Botswana</t>
        </is>
      </c>
      <c r="C30" t="inlineStr">
        <is>
          <t>BOT05</t>
        </is>
      </c>
      <c r="D30" t="n">
        <v>0.33</v>
      </c>
      <c r="E30" t="inlineStr">
        <is>
          <t>Dig Infrastructure Lead</t>
        </is>
      </c>
      <c r="F30">
        <f>SUMIF($A$2:$A$1594,A30,$D$2:$D$1594)</f>
        <v/>
      </c>
    </row>
    <row r="31">
      <c r="A31" t="inlineStr">
        <is>
          <t>Mavyuva, Boniface</t>
        </is>
      </c>
      <c r="B31" t="inlineStr">
        <is>
          <t>Botswana</t>
        </is>
      </c>
      <c r="C31" t="inlineStr">
        <is>
          <t>BOT06</t>
        </is>
      </c>
      <c r="D31" t="n">
        <v>0.33</v>
      </c>
      <c r="E31" t="inlineStr">
        <is>
          <t>Dig Infrastructure Lead</t>
        </is>
      </c>
      <c r="F31">
        <f>SUMIF($A$2:$A$1594,A31,$D$2:$D$1594)</f>
        <v/>
      </c>
    </row>
    <row r="32">
      <c r="A32" t="inlineStr">
        <is>
          <t>Showalter, Caitlin</t>
        </is>
      </c>
      <c r="B32" t="inlineStr">
        <is>
          <t>Botswana</t>
        </is>
      </c>
      <c r="C32" t="inlineStr">
        <is>
          <t>BOT01</t>
        </is>
      </c>
      <c r="D32" t="n">
        <v>0.67</v>
      </c>
      <c r="E32" t="inlineStr">
        <is>
          <t>M&amp;E and Learning</t>
        </is>
      </c>
      <c r="F32">
        <f>SUMIF($A$2:$A$1594,A32,$D$2:$D$1594)</f>
        <v/>
      </c>
    </row>
    <row r="33">
      <c r="A33" t="inlineStr">
        <is>
          <t>Showalter, Caitlin</t>
        </is>
      </c>
      <c r="B33" t="inlineStr">
        <is>
          <t>Botswana</t>
        </is>
      </c>
      <c r="C33" t="inlineStr">
        <is>
          <t>BOT02</t>
        </is>
      </c>
      <c r="D33" t="n">
        <v>0.67</v>
      </c>
      <c r="E33" t="inlineStr">
        <is>
          <t>M&amp;E and Learning</t>
        </is>
      </c>
      <c r="F33">
        <f>SUMIF($A$2:$A$1594,A33,$D$2:$D$1594)</f>
        <v/>
      </c>
    </row>
    <row r="34">
      <c r="A34" t="inlineStr">
        <is>
          <t>Showalter, Caitlin</t>
        </is>
      </c>
      <c r="B34" t="inlineStr">
        <is>
          <t>Botswana</t>
        </is>
      </c>
      <c r="C34" t="inlineStr">
        <is>
          <t>BOT03</t>
        </is>
      </c>
      <c r="D34" t="n">
        <v>0.67</v>
      </c>
      <c r="E34" t="inlineStr">
        <is>
          <t>M&amp;E and Learning</t>
        </is>
      </c>
      <c r="F34">
        <f>SUMIF($A$2:$A$1594,A34,$D$2:$D$1594)</f>
        <v/>
      </c>
    </row>
    <row r="35">
      <c r="A35" t="inlineStr">
        <is>
          <t>Showalter, Caitlin</t>
        </is>
      </c>
      <c r="B35" t="inlineStr">
        <is>
          <t>Botswana</t>
        </is>
      </c>
      <c r="C35" t="inlineStr">
        <is>
          <t>BOT04</t>
        </is>
      </c>
      <c r="D35" t="n">
        <v>0.67</v>
      </c>
      <c r="E35" t="inlineStr">
        <is>
          <t>M&amp;E and Learning</t>
        </is>
      </c>
      <c r="F35">
        <f>SUMIF($A$2:$A$1594,A35,$D$2:$D$1594)</f>
        <v/>
      </c>
    </row>
    <row r="36">
      <c r="A36" t="inlineStr">
        <is>
          <t>Showalter, Caitlin</t>
        </is>
      </c>
      <c r="B36" t="inlineStr">
        <is>
          <t>Botswana</t>
        </is>
      </c>
      <c r="C36" t="inlineStr">
        <is>
          <t>BOT05</t>
        </is>
      </c>
      <c r="D36" t="n">
        <v>0.66</v>
      </c>
      <c r="E36" t="inlineStr">
        <is>
          <t>M&amp;E and Learning</t>
        </is>
      </c>
      <c r="F36">
        <f>SUMIF($A$2:$A$1594,A36,$D$2:$D$1594)</f>
        <v/>
      </c>
    </row>
    <row r="37">
      <c r="A37" t="inlineStr">
        <is>
          <t>Showalter, Caitlin</t>
        </is>
      </c>
      <c r="B37" t="inlineStr">
        <is>
          <t>Botswana</t>
        </is>
      </c>
      <c r="C37" t="inlineStr">
        <is>
          <t>BOT06</t>
        </is>
      </c>
      <c r="D37" t="n">
        <v>0.66</v>
      </c>
      <c r="E37" t="inlineStr">
        <is>
          <t>M&amp;E and Learning</t>
        </is>
      </c>
      <c r="F37">
        <f>SUMIF($A$2:$A$1594,A37,$D$2:$D$1594)</f>
        <v/>
      </c>
    </row>
    <row r="38">
      <c r="A38" t="inlineStr">
        <is>
          <t>Miranda Rondon de Ro, Ing</t>
        </is>
      </c>
      <c r="B38" t="inlineStr">
        <is>
          <t>Botswana</t>
        </is>
      </c>
      <c r="C38" t="inlineStr">
        <is>
          <t>BOT01</t>
        </is>
      </c>
      <c r="D38" t="n">
        <v>0.67</v>
      </c>
      <c r="E38" t="inlineStr">
        <is>
          <t>M&amp;E and Learning</t>
        </is>
      </c>
      <c r="F38">
        <f>SUMIF($A$2:$A$1594,A38,$D$2:$D$1594)</f>
        <v/>
      </c>
    </row>
    <row r="39">
      <c r="A39" t="inlineStr">
        <is>
          <t>Miranda Rondon de Ro, Ing</t>
        </is>
      </c>
      <c r="B39" t="inlineStr">
        <is>
          <t>Botswana</t>
        </is>
      </c>
      <c r="C39" t="inlineStr">
        <is>
          <t>BOT02</t>
        </is>
      </c>
      <c r="D39" t="n">
        <v>0.67</v>
      </c>
      <c r="E39" t="inlineStr">
        <is>
          <t>M&amp;E and Learning</t>
        </is>
      </c>
      <c r="F39">
        <f>SUMIF($A$2:$A$1594,A39,$D$2:$D$1594)</f>
        <v/>
      </c>
    </row>
    <row r="40">
      <c r="A40" t="inlineStr">
        <is>
          <t>Miranda Rondon de Ro, Ing</t>
        </is>
      </c>
      <c r="B40" t="inlineStr">
        <is>
          <t>Botswana</t>
        </is>
      </c>
      <c r="C40" t="inlineStr">
        <is>
          <t>BOT03</t>
        </is>
      </c>
      <c r="D40" t="n">
        <v>0.67</v>
      </c>
      <c r="E40" t="inlineStr">
        <is>
          <t>M&amp;E and Learning</t>
        </is>
      </c>
      <c r="F40">
        <f>SUMIF($A$2:$A$1594,A40,$D$2:$D$1594)</f>
        <v/>
      </c>
    </row>
    <row r="41">
      <c r="A41" t="inlineStr">
        <is>
          <t>Miranda Rondon de Ro, Ing</t>
        </is>
      </c>
      <c r="B41" t="inlineStr">
        <is>
          <t>Botswana</t>
        </is>
      </c>
      <c r="C41" t="inlineStr">
        <is>
          <t>BOT04</t>
        </is>
      </c>
      <c r="D41" t="n">
        <v>0.67</v>
      </c>
      <c r="E41" t="inlineStr">
        <is>
          <t>M&amp;E and Learning</t>
        </is>
      </c>
      <c r="F41">
        <f>SUMIF($A$2:$A$1594,A41,$D$2:$D$1594)</f>
        <v/>
      </c>
    </row>
    <row r="42">
      <c r="A42" t="inlineStr">
        <is>
          <t>Miranda Rondon de Ro, Ing</t>
        </is>
      </c>
      <c r="B42" t="inlineStr">
        <is>
          <t>Botswana</t>
        </is>
      </c>
      <c r="C42" t="inlineStr">
        <is>
          <t>BOT05</t>
        </is>
      </c>
      <c r="D42" t="n">
        <v>0.66</v>
      </c>
      <c r="E42" t="inlineStr">
        <is>
          <t>M&amp;E and Learning</t>
        </is>
      </c>
      <c r="F42">
        <f>SUMIF($A$2:$A$1594,A42,$D$2:$D$1594)</f>
        <v/>
      </c>
    </row>
    <row r="43">
      <c r="A43" t="inlineStr">
        <is>
          <t>Miranda Rondon de Ro, Ing</t>
        </is>
      </c>
      <c r="B43" t="inlineStr">
        <is>
          <t>Botswana</t>
        </is>
      </c>
      <c r="C43" t="inlineStr">
        <is>
          <t>BOT06</t>
        </is>
      </c>
      <c r="D43" t="n">
        <v>0.66</v>
      </c>
      <c r="E43" t="inlineStr">
        <is>
          <t>M&amp;E and Learning</t>
        </is>
      </c>
      <c r="F43">
        <f>SUMIF($A$2:$A$1594,A43,$D$2:$D$1594)</f>
        <v/>
      </c>
    </row>
    <row r="44">
      <c r="A44" t="inlineStr">
        <is>
          <t>Sakaguchi, Kevin</t>
        </is>
      </c>
      <c r="B44" t="inlineStr">
        <is>
          <t>Botswana</t>
        </is>
      </c>
      <c r="C44" t="inlineStr">
        <is>
          <t>BOT01</t>
        </is>
      </c>
      <c r="D44" t="n">
        <v>0.67</v>
      </c>
      <c r="E44" t="inlineStr">
        <is>
          <t>M&amp;E and Learning</t>
        </is>
      </c>
      <c r="F44">
        <f>SUMIF($A$2:$A$1594,A44,$D$2:$D$1594)</f>
        <v/>
      </c>
    </row>
    <row r="45">
      <c r="A45" t="inlineStr">
        <is>
          <t>Sakaguchi, Kevin</t>
        </is>
      </c>
      <c r="B45" t="inlineStr">
        <is>
          <t>Botswana</t>
        </is>
      </c>
      <c r="C45" t="inlineStr">
        <is>
          <t>BOT02</t>
        </is>
      </c>
      <c r="D45" t="n">
        <v>0.67</v>
      </c>
      <c r="E45" t="inlineStr">
        <is>
          <t>M&amp;E and Learning</t>
        </is>
      </c>
      <c r="F45">
        <f>SUMIF($A$2:$A$1594,A45,$D$2:$D$1594)</f>
        <v/>
      </c>
    </row>
    <row r="46">
      <c r="A46" t="inlineStr">
        <is>
          <t>Sakaguchi, Kevin</t>
        </is>
      </c>
      <c r="B46" t="inlineStr">
        <is>
          <t>Botswana</t>
        </is>
      </c>
      <c r="C46" t="inlineStr">
        <is>
          <t>BOT03</t>
        </is>
      </c>
      <c r="D46" t="n">
        <v>1.33</v>
      </c>
      <c r="E46" t="inlineStr">
        <is>
          <t>M&amp;E and Learning</t>
        </is>
      </c>
      <c r="F46">
        <f>SUMIF($A$2:$A$1594,A46,$D$2:$D$1594)</f>
        <v/>
      </c>
    </row>
    <row r="47">
      <c r="A47" t="inlineStr">
        <is>
          <t>Sakaguchi, Kevin</t>
        </is>
      </c>
      <c r="B47" t="inlineStr">
        <is>
          <t>Botswana</t>
        </is>
      </c>
      <c r="C47" t="inlineStr">
        <is>
          <t>BOT04</t>
        </is>
      </c>
      <c r="D47" t="n">
        <v>0.67</v>
      </c>
      <c r="E47" t="inlineStr">
        <is>
          <t>M&amp;E and Learning</t>
        </is>
      </c>
      <c r="F47">
        <f>SUMIF($A$2:$A$1594,A47,$D$2:$D$1594)</f>
        <v/>
      </c>
    </row>
    <row r="48">
      <c r="A48" t="inlineStr">
        <is>
          <t>Sakaguchi, Kevin</t>
        </is>
      </c>
      <c r="B48" t="inlineStr">
        <is>
          <t>Botswana</t>
        </is>
      </c>
      <c r="C48" t="inlineStr">
        <is>
          <t>BOT05</t>
        </is>
      </c>
      <c r="D48" t="n">
        <v>0.66</v>
      </c>
      <c r="E48" t="inlineStr">
        <is>
          <t>M&amp;E and Learning</t>
        </is>
      </c>
      <c r="F48">
        <f>SUMIF($A$2:$A$1594,A48,$D$2:$D$1594)</f>
        <v/>
      </c>
    </row>
    <row r="49">
      <c r="A49" t="inlineStr">
        <is>
          <t>Claussen, Laurence</t>
        </is>
      </c>
      <c r="B49" t="inlineStr">
        <is>
          <t>Botswana</t>
        </is>
      </c>
      <c r="C49" t="inlineStr">
        <is>
          <t>BOT01</t>
        </is>
      </c>
      <c r="D49" t="n">
        <v>0.93</v>
      </c>
      <c r="E49" t="inlineStr">
        <is>
          <t>Comms Manager</t>
        </is>
      </c>
      <c r="F49">
        <f>SUMIF($A$2:$A$1594,A49,$D$2:$D$1594)</f>
        <v/>
      </c>
    </row>
    <row r="50">
      <c r="A50" t="inlineStr">
        <is>
          <t>Claussen, Laurence</t>
        </is>
      </c>
      <c r="B50" t="inlineStr">
        <is>
          <t>Botswana</t>
        </is>
      </c>
      <c r="C50" t="inlineStr">
        <is>
          <t>BOT02</t>
        </is>
      </c>
      <c r="D50" t="n">
        <v>0.41</v>
      </c>
      <c r="E50" t="inlineStr">
        <is>
          <t>Comms Manager</t>
        </is>
      </c>
      <c r="F50">
        <f>SUMIF($A$2:$A$1594,A50,$D$2:$D$1594)</f>
        <v/>
      </c>
    </row>
    <row r="51">
      <c r="A51" t="inlineStr">
        <is>
          <t>Claussen, Laurence</t>
        </is>
      </c>
      <c r="B51" t="inlineStr">
        <is>
          <t>Botswana</t>
        </is>
      </c>
      <c r="C51" t="inlineStr">
        <is>
          <t>BOT03</t>
        </is>
      </c>
      <c r="D51" t="n">
        <v>0.67</v>
      </c>
      <c r="E51" t="inlineStr">
        <is>
          <t>Comms Manager</t>
        </is>
      </c>
      <c r="F51">
        <f>SUMIF($A$2:$A$1594,A51,$D$2:$D$1594)</f>
        <v/>
      </c>
    </row>
    <row r="52">
      <c r="A52" t="inlineStr">
        <is>
          <t>Claussen, Laurence</t>
        </is>
      </c>
      <c r="B52" t="inlineStr">
        <is>
          <t>Botswana</t>
        </is>
      </c>
      <c r="C52" t="inlineStr">
        <is>
          <t>BOT05</t>
        </is>
      </c>
      <c r="D52" t="n">
        <v>0.66</v>
      </c>
      <c r="E52" t="inlineStr">
        <is>
          <t>Comms Manager</t>
        </is>
      </c>
      <c r="F52">
        <f>SUMIF($A$2:$A$1594,A52,$D$2:$D$1594)</f>
        <v/>
      </c>
    </row>
    <row r="53">
      <c r="A53" t="inlineStr">
        <is>
          <t>Claussen, Laurence</t>
        </is>
      </c>
      <c r="B53" t="inlineStr">
        <is>
          <t>Botswana</t>
        </is>
      </c>
      <c r="C53" t="inlineStr">
        <is>
          <t>BOT06</t>
        </is>
      </c>
      <c r="D53" t="n">
        <v>1.33</v>
      </c>
      <c r="E53" t="inlineStr">
        <is>
          <t>Comms Manager</t>
        </is>
      </c>
      <c r="F53">
        <f>SUMIF($A$2:$A$1594,A53,$D$2:$D$1594)</f>
        <v/>
      </c>
    </row>
    <row r="54">
      <c r="A54" t="inlineStr">
        <is>
          <t>Manocher, Baktash</t>
        </is>
      </c>
      <c r="B54" t="inlineStr">
        <is>
          <t>Botswana</t>
        </is>
      </c>
      <c r="C54" t="inlineStr">
        <is>
          <t>BOT01</t>
        </is>
      </c>
      <c r="D54" t="n">
        <v>2.5</v>
      </c>
      <c r="E54" t="inlineStr">
        <is>
          <t>Associate Pool</t>
        </is>
      </c>
      <c r="F54">
        <f>SUMIF($A$2:$A$1594,A54,$D$2:$D$1594)</f>
        <v/>
      </c>
    </row>
    <row r="55">
      <c r="A55" t="inlineStr">
        <is>
          <t>Manocher, Baktash</t>
        </is>
      </c>
      <c r="B55" t="inlineStr">
        <is>
          <t>Botswana</t>
        </is>
      </c>
      <c r="C55" t="inlineStr">
        <is>
          <t>BOT02</t>
        </is>
      </c>
      <c r="D55" t="n">
        <v>2.5</v>
      </c>
      <c r="E55" t="inlineStr">
        <is>
          <t>Associate Pool</t>
        </is>
      </c>
      <c r="F55">
        <f>SUMIF($A$2:$A$1594,A55,$D$2:$D$1594)</f>
        <v/>
      </c>
    </row>
    <row r="56">
      <c r="A56" t="inlineStr">
        <is>
          <t>Manocher, Baktash</t>
        </is>
      </c>
      <c r="B56" t="inlineStr">
        <is>
          <t>Botswana</t>
        </is>
      </c>
      <c r="C56" t="inlineStr">
        <is>
          <t>BOT03</t>
        </is>
      </c>
      <c r="D56" t="n">
        <v>2.5</v>
      </c>
      <c r="E56" t="inlineStr">
        <is>
          <t>Associate Pool</t>
        </is>
      </c>
      <c r="F56">
        <f>SUMIF($A$2:$A$1594,A56,$D$2:$D$1594)</f>
        <v/>
      </c>
    </row>
    <row r="57">
      <c r="A57" t="inlineStr">
        <is>
          <t>Manocher, Baktash</t>
        </is>
      </c>
      <c r="B57" t="inlineStr">
        <is>
          <t>Botswana</t>
        </is>
      </c>
      <c r="C57" t="inlineStr">
        <is>
          <t>BOT04</t>
        </is>
      </c>
      <c r="D57" t="n">
        <v>2.5</v>
      </c>
      <c r="E57" t="inlineStr">
        <is>
          <t>Associate Pool</t>
        </is>
      </c>
      <c r="F57">
        <f>SUMIF($A$2:$A$1594,A57,$D$2:$D$1594)</f>
        <v/>
      </c>
    </row>
    <row r="58">
      <c r="A58" t="inlineStr">
        <is>
          <t>Manocher, Baktash</t>
        </is>
      </c>
      <c r="B58" t="inlineStr">
        <is>
          <t>Botswana</t>
        </is>
      </c>
      <c r="C58" t="inlineStr">
        <is>
          <t>BOT05</t>
        </is>
      </c>
      <c r="D58" t="n">
        <v>2.5</v>
      </c>
      <c r="E58" t="inlineStr">
        <is>
          <t>Associate Pool</t>
        </is>
      </c>
      <c r="F58">
        <f>SUMIF($A$2:$A$1594,A58,$D$2:$D$1594)</f>
        <v/>
      </c>
    </row>
    <row r="59">
      <c r="A59" t="inlineStr">
        <is>
          <t>Manocher, Baktash</t>
        </is>
      </c>
      <c r="B59" t="inlineStr">
        <is>
          <t>Botswana</t>
        </is>
      </c>
      <c r="C59" t="inlineStr">
        <is>
          <t>BOT06</t>
        </is>
      </c>
      <c r="D59" t="n">
        <v>2.5</v>
      </c>
      <c r="E59" t="inlineStr">
        <is>
          <t>Associate Pool</t>
        </is>
      </c>
      <c r="F59">
        <f>SUMIF($A$2:$A$1594,A59,$D$2:$D$1594)</f>
        <v/>
      </c>
    </row>
    <row r="60">
      <c r="A60" t="inlineStr">
        <is>
          <t>Mathias, John</t>
        </is>
      </c>
      <c r="B60" t="inlineStr">
        <is>
          <t>Botswana</t>
        </is>
      </c>
      <c r="C60" t="inlineStr">
        <is>
          <t>BOT01</t>
        </is>
      </c>
      <c r="D60" t="n">
        <v>0.5</v>
      </c>
      <c r="E60" t="inlineStr">
        <is>
          <t>Operations Director</t>
        </is>
      </c>
      <c r="F60">
        <f>SUMIF($A$2:$A$1594,A60,$D$2:$D$1594)</f>
        <v/>
      </c>
    </row>
    <row r="61">
      <c r="A61" t="inlineStr">
        <is>
          <t>Mathias, John</t>
        </is>
      </c>
      <c r="B61" t="inlineStr">
        <is>
          <t>Botswana</t>
        </is>
      </c>
      <c r="C61" t="inlineStr">
        <is>
          <t>BOT02</t>
        </is>
      </c>
      <c r="D61" t="n">
        <v>0.5</v>
      </c>
      <c r="E61" t="inlineStr">
        <is>
          <t>Operations Director</t>
        </is>
      </c>
      <c r="F61">
        <f>SUMIF($A$2:$A$1594,A61,$D$2:$D$1594)</f>
        <v/>
      </c>
    </row>
    <row r="62">
      <c r="A62" t="inlineStr">
        <is>
          <t>Mathias, John</t>
        </is>
      </c>
      <c r="B62" t="inlineStr">
        <is>
          <t>Botswana</t>
        </is>
      </c>
      <c r="C62" t="inlineStr">
        <is>
          <t>BOT03</t>
        </is>
      </c>
      <c r="D62" t="n">
        <v>0.5</v>
      </c>
      <c r="E62" t="inlineStr">
        <is>
          <t>Operations Director</t>
        </is>
      </c>
      <c r="F62">
        <f>SUMIF($A$2:$A$1594,A62,$D$2:$D$1594)</f>
        <v/>
      </c>
    </row>
    <row r="63">
      <c r="A63" t="inlineStr">
        <is>
          <t>Mathias, John</t>
        </is>
      </c>
      <c r="B63" t="inlineStr">
        <is>
          <t>Botswana</t>
        </is>
      </c>
      <c r="C63" t="inlineStr">
        <is>
          <t>BOT04</t>
        </is>
      </c>
      <c r="D63" t="n">
        <v>0.5</v>
      </c>
      <c r="E63" t="inlineStr">
        <is>
          <t>Operations Director</t>
        </is>
      </c>
      <c r="F63">
        <f>SUMIF($A$2:$A$1594,A63,$D$2:$D$1594)</f>
        <v/>
      </c>
    </row>
    <row r="64">
      <c r="A64" t="inlineStr">
        <is>
          <t>Mathias, John</t>
        </is>
      </c>
      <c r="B64" t="inlineStr">
        <is>
          <t>Botswana</t>
        </is>
      </c>
      <c r="C64" t="inlineStr">
        <is>
          <t>BOT05</t>
        </is>
      </c>
      <c r="D64" t="n">
        <v>0.5</v>
      </c>
      <c r="E64" t="inlineStr">
        <is>
          <t>Operations Director</t>
        </is>
      </c>
      <c r="F64">
        <f>SUMIF($A$2:$A$1594,A64,$D$2:$D$1594)</f>
        <v/>
      </c>
    </row>
    <row r="65">
      <c r="A65" t="inlineStr">
        <is>
          <t>Mathias, John</t>
        </is>
      </c>
      <c r="B65" t="inlineStr">
        <is>
          <t>Botswana</t>
        </is>
      </c>
      <c r="C65" t="inlineStr">
        <is>
          <t>BOT06</t>
        </is>
      </c>
      <c r="D65" t="n">
        <v>0.5</v>
      </c>
      <c r="E65" t="inlineStr">
        <is>
          <t>Operations Director</t>
        </is>
      </c>
      <c r="F65">
        <f>SUMIF($A$2:$A$1594,A65,$D$2:$D$1594)</f>
        <v/>
      </c>
    </row>
    <row r="66">
      <c r="A66" t="inlineStr">
        <is>
          <t>Misomali, Mark</t>
        </is>
      </c>
      <c r="B66" t="inlineStr">
        <is>
          <t>Botswana</t>
        </is>
      </c>
      <c r="C66" t="inlineStr">
        <is>
          <t>BOT01</t>
        </is>
      </c>
      <c r="D66" t="n">
        <v>0.5</v>
      </c>
      <c r="E66" t="inlineStr">
        <is>
          <t xml:space="preserve">Operations Sr Finance Manager   </t>
        </is>
      </c>
      <c r="F66">
        <f>SUMIF($A$2:$A$1594,A66,$D$2:$D$1594)</f>
        <v/>
      </c>
    </row>
    <row r="67">
      <c r="A67" t="inlineStr">
        <is>
          <t>Misomali, Mark</t>
        </is>
      </c>
      <c r="B67" t="inlineStr">
        <is>
          <t>Botswana</t>
        </is>
      </c>
      <c r="C67" t="inlineStr">
        <is>
          <t>BOT02</t>
        </is>
      </c>
      <c r="D67" t="n">
        <v>0.5</v>
      </c>
      <c r="E67" t="inlineStr">
        <is>
          <t xml:space="preserve">Operations Sr Finance Manager   </t>
        </is>
      </c>
      <c r="F67">
        <f>SUMIF($A$2:$A$1594,A67,$D$2:$D$1594)</f>
        <v/>
      </c>
    </row>
    <row r="68">
      <c r="A68" t="inlineStr">
        <is>
          <t>Misomali, Mark</t>
        </is>
      </c>
      <c r="B68" t="inlineStr">
        <is>
          <t>Botswana</t>
        </is>
      </c>
      <c r="C68" t="inlineStr">
        <is>
          <t>BOT03</t>
        </is>
      </c>
      <c r="D68" t="n">
        <v>0.5</v>
      </c>
      <c r="E68" t="inlineStr">
        <is>
          <t xml:space="preserve">Operations Sr Finance Manager   </t>
        </is>
      </c>
      <c r="F68">
        <f>SUMIF($A$2:$A$1594,A68,$D$2:$D$1594)</f>
        <v/>
      </c>
    </row>
    <row r="69">
      <c r="A69" t="inlineStr">
        <is>
          <t>Misomali, Mark</t>
        </is>
      </c>
      <c r="B69" t="inlineStr">
        <is>
          <t>Botswana</t>
        </is>
      </c>
      <c r="C69" t="inlineStr">
        <is>
          <t>BOT04</t>
        </is>
      </c>
      <c r="D69" t="n">
        <v>0.5</v>
      </c>
      <c r="E69" t="inlineStr">
        <is>
          <t xml:space="preserve">Operations Sr Finance Manager   </t>
        </is>
      </c>
      <c r="F69">
        <f>SUMIF($A$2:$A$1594,A69,$D$2:$D$1594)</f>
        <v/>
      </c>
    </row>
    <row r="70">
      <c r="A70" t="inlineStr">
        <is>
          <t>Misomali, Mark</t>
        </is>
      </c>
      <c r="B70" t="inlineStr">
        <is>
          <t>Botswana</t>
        </is>
      </c>
      <c r="C70" t="inlineStr">
        <is>
          <t>BOT05</t>
        </is>
      </c>
      <c r="D70" t="n">
        <v>0.5</v>
      </c>
      <c r="E70" t="inlineStr">
        <is>
          <t xml:space="preserve">Operations Sr Finance Manager   </t>
        </is>
      </c>
      <c r="F70">
        <f>SUMIF($A$2:$A$1594,A70,$D$2:$D$1594)</f>
        <v/>
      </c>
    </row>
    <row r="71">
      <c r="A71" t="inlineStr">
        <is>
          <t>Misomali, Mark</t>
        </is>
      </c>
      <c r="B71" t="inlineStr">
        <is>
          <t>Botswana</t>
        </is>
      </c>
      <c r="C71" t="inlineStr">
        <is>
          <t>BOT06</t>
        </is>
      </c>
      <c r="D71" t="n">
        <v>0.5</v>
      </c>
      <c r="E71" t="inlineStr">
        <is>
          <t xml:space="preserve">Operations Sr Finance Manager   </t>
        </is>
      </c>
      <c r="F71">
        <f>SUMIF($A$2:$A$1594,A71,$D$2:$D$1594)</f>
        <v/>
      </c>
    </row>
    <row r="72">
      <c r="A72" t="inlineStr">
        <is>
          <t>Noorzai, Mahmood</t>
        </is>
      </c>
      <c r="B72" t="inlineStr">
        <is>
          <t>Botswana</t>
        </is>
      </c>
      <c r="C72" t="inlineStr">
        <is>
          <t>BOT01</t>
        </is>
      </c>
      <c r="D72" t="n">
        <v>0.5</v>
      </c>
      <c r="E72" t="inlineStr">
        <is>
          <t>Operations Finance Associate</t>
        </is>
      </c>
      <c r="F72">
        <f>SUMIF($A$2:$A$1594,A72,$D$2:$D$1594)</f>
        <v/>
      </c>
    </row>
    <row r="73">
      <c r="A73" t="inlineStr">
        <is>
          <t>Noorzai, Mahmood</t>
        </is>
      </c>
      <c r="B73" t="inlineStr">
        <is>
          <t>Botswana</t>
        </is>
      </c>
      <c r="C73" t="inlineStr">
        <is>
          <t>BOT02</t>
        </is>
      </c>
      <c r="D73" t="n">
        <v>0.5</v>
      </c>
      <c r="E73" t="inlineStr">
        <is>
          <t>Operations Finance Associate</t>
        </is>
      </c>
      <c r="F73">
        <f>SUMIF($A$2:$A$1594,A73,$D$2:$D$1594)</f>
        <v/>
      </c>
    </row>
    <row r="74">
      <c r="A74" t="inlineStr">
        <is>
          <t>Noorzai, Mahmood</t>
        </is>
      </c>
      <c r="B74" t="inlineStr">
        <is>
          <t>Botswana</t>
        </is>
      </c>
      <c r="C74" t="inlineStr">
        <is>
          <t>BOT03</t>
        </is>
      </c>
      <c r="D74" t="n">
        <v>0.5</v>
      </c>
      <c r="E74" t="inlineStr">
        <is>
          <t>Operations Finance Associate</t>
        </is>
      </c>
      <c r="F74">
        <f>SUMIF($A$2:$A$1594,A74,$D$2:$D$1594)</f>
        <v/>
      </c>
    </row>
    <row r="75">
      <c r="A75" t="inlineStr">
        <is>
          <t>Noorzai, Mahmood</t>
        </is>
      </c>
      <c r="B75" t="inlineStr">
        <is>
          <t>Botswana</t>
        </is>
      </c>
      <c r="C75" t="inlineStr">
        <is>
          <t>BOT04</t>
        </is>
      </c>
      <c r="D75" t="n">
        <v>0.5</v>
      </c>
      <c r="E75" t="inlineStr">
        <is>
          <t>Operations Finance Associate</t>
        </is>
      </c>
      <c r="F75">
        <f>SUMIF($A$2:$A$1594,A75,$D$2:$D$1594)</f>
        <v/>
      </c>
    </row>
    <row r="76">
      <c r="A76" t="inlineStr">
        <is>
          <t>Noorzai, Mahmood</t>
        </is>
      </c>
      <c r="B76" t="inlineStr">
        <is>
          <t>Botswana</t>
        </is>
      </c>
      <c r="C76" t="inlineStr">
        <is>
          <t>BOT05</t>
        </is>
      </c>
      <c r="D76" t="n">
        <v>0.5</v>
      </c>
      <c r="E76" t="inlineStr">
        <is>
          <t>Operations Finance Associate</t>
        </is>
      </c>
      <c r="F76">
        <f>SUMIF($A$2:$A$1594,A76,$D$2:$D$1594)</f>
        <v/>
      </c>
    </row>
    <row r="77">
      <c r="A77" t="inlineStr">
        <is>
          <t>Noorzai, Mahmood</t>
        </is>
      </c>
      <c r="B77" t="inlineStr">
        <is>
          <t>Botswana</t>
        </is>
      </c>
      <c r="C77" t="inlineStr">
        <is>
          <t>BOT06</t>
        </is>
      </c>
      <c r="D77" t="n">
        <v>0.5</v>
      </c>
      <c r="E77" t="inlineStr">
        <is>
          <t>Operations Finance Associate</t>
        </is>
      </c>
      <c r="F77">
        <f>SUMIF($A$2:$A$1594,A77,$D$2:$D$1594)</f>
        <v/>
      </c>
    </row>
    <row r="78">
      <c r="A78" t="inlineStr">
        <is>
          <t>Miller, Brynn</t>
        </is>
      </c>
      <c r="B78" t="inlineStr">
        <is>
          <t>Botswana</t>
        </is>
      </c>
      <c r="C78" t="inlineStr">
        <is>
          <t>BOT01</t>
        </is>
      </c>
      <c r="D78" t="n">
        <v>2.5</v>
      </c>
      <c r="E78" t="inlineStr">
        <is>
          <t>Operations Manager level - 16</t>
        </is>
      </c>
      <c r="F78">
        <f>SUMIF($A$2:$A$1594,A78,$D$2:$D$1594)</f>
        <v/>
      </c>
    </row>
    <row r="79">
      <c r="A79" t="inlineStr">
        <is>
          <t>Miller, Brynn</t>
        </is>
      </c>
      <c r="B79" t="inlineStr">
        <is>
          <t>Botswana</t>
        </is>
      </c>
      <c r="C79" t="inlineStr">
        <is>
          <t>BOT02</t>
        </is>
      </c>
      <c r="D79" t="n">
        <v>2.5</v>
      </c>
      <c r="E79" t="inlineStr">
        <is>
          <t>Operations Manager level - 16</t>
        </is>
      </c>
      <c r="F79">
        <f>SUMIF($A$2:$A$1594,A79,$D$2:$D$1594)</f>
        <v/>
      </c>
    </row>
    <row r="80">
      <c r="A80" t="inlineStr">
        <is>
          <t>Miller, Brynn</t>
        </is>
      </c>
      <c r="B80" t="inlineStr">
        <is>
          <t>Botswana</t>
        </is>
      </c>
      <c r="C80" t="inlineStr">
        <is>
          <t>BOT03</t>
        </is>
      </c>
      <c r="D80" t="n">
        <v>2.5</v>
      </c>
      <c r="E80" t="inlineStr">
        <is>
          <t>Operations Manager level - 16</t>
        </is>
      </c>
      <c r="F80">
        <f>SUMIF($A$2:$A$1594,A80,$D$2:$D$1594)</f>
        <v/>
      </c>
    </row>
    <row r="81">
      <c r="A81" t="inlineStr">
        <is>
          <t>Miller, Brynn</t>
        </is>
      </c>
      <c r="B81" t="inlineStr">
        <is>
          <t>Botswana</t>
        </is>
      </c>
      <c r="C81" t="inlineStr">
        <is>
          <t>BOT04</t>
        </is>
      </c>
      <c r="D81" t="n">
        <v>2.5</v>
      </c>
      <c r="E81" t="inlineStr">
        <is>
          <t>Operations Manager level - 16</t>
        </is>
      </c>
      <c r="F81">
        <f>SUMIF($A$2:$A$1594,A81,$D$2:$D$1594)</f>
        <v/>
      </c>
    </row>
    <row r="82">
      <c r="A82" t="inlineStr">
        <is>
          <t>Miller, Brynn</t>
        </is>
      </c>
      <c r="B82" t="inlineStr">
        <is>
          <t>Botswana</t>
        </is>
      </c>
      <c r="C82" t="inlineStr">
        <is>
          <t>BOT05</t>
        </is>
      </c>
      <c r="D82" t="n">
        <v>2.5</v>
      </c>
      <c r="E82" t="inlineStr">
        <is>
          <t>Operations Manager level - 16</t>
        </is>
      </c>
      <c r="F82">
        <f>SUMIF($A$2:$A$1594,A82,$D$2:$D$1594)</f>
        <v/>
      </c>
    </row>
    <row r="83">
      <c r="A83" t="inlineStr">
        <is>
          <t>Miller, Brynn</t>
        </is>
      </c>
      <c r="B83" t="inlineStr">
        <is>
          <t>Botswana</t>
        </is>
      </c>
      <c r="C83" t="inlineStr">
        <is>
          <t>BOT06</t>
        </is>
      </c>
      <c r="D83" t="n">
        <v>2.5</v>
      </c>
      <c r="E83" t="inlineStr">
        <is>
          <t>Operations Manager level - 16</t>
        </is>
      </c>
      <c r="F83">
        <f>SUMIF($A$2:$A$1594,A83,$D$2:$D$1594)</f>
        <v/>
      </c>
    </row>
    <row r="84">
      <c r="A84" t="inlineStr">
        <is>
          <t>Mawandia, Shreshth</t>
        </is>
      </c>
      <c r="B84" t="inlineStr">
        <is>
          <t>Burundi</t>
        </is>
      </c>
      <c r="C84" t="inlineStr">
        <is>
          <t>BUR01</t>
        </is>
      </c>
      <c r="D84" t="n">
        <v>0.5</v>
      </c>
      <c r="E84" t="inlineStr">
        <is>
          <t>KP - Project Director</t>
        </is>
      </c>
      <c r="F84">
        <f>SUMIF($A$2:$A$1594,A84,$D$2:$D$1594)</f>
        <v/>
      </c>
    </row>
    <row r="85">
      <c r="A85" t="inlineStr">
        <is>
          <t>Mawandia, Shreshth</t>
        </is>
      </c>
      <c r="B85" t="inlineStr">
        <is>
          <t>Burundi</t>
        </is>
      </c>
      <c r="C85" t="inlineStr">
        <is>
          <t>BUR02</t>
        </is>
      </c>
      <c r="D85" t="n">
        <v>0.5</v>
      </c>
      <c r="E85" t="inlineStr">
        <is>
          <t>KP - Project Director</t>
        </is>
      </c>
      <c r="F85">
        <f>SUMIF($A$2:$A$1594,A85,$D$2:$D$1594)</f>
        <v/>
      </c>
    </row>
    <row r="86">
      <c r="A86" t="inlineStr">
        <is>
          <t>Mawandia, Shreshth</t>
        </is>
      </c>
      <c r="B86" t="inlineStr">
        <is>
          <t>Burundi</t>
        </is>
      </c>
      <c r="C86" t="inlineStr">
        <is>
          <t>BUR03</t>
        </is>
      </c>
      <c r="D86" t="n">
        <v>0.5</v>
      </c>
      <c r="E86" t="inlineStr">
        <is>
          <t>KP - Project Director</t>
        </is>
      </c>
      <c r="F86">
        <f>SUMIF($A$2:$A$1594,A86,$D$2:$D$1594)</f>
        <v/>
      </c>
    </row>
    <row r="87">
      <c r="A87" t="inlineStr">
        <is>
          <t>Mawandia, Shreshth</t>
        </is>
      </c>
      <c r="B87" t="inlineStr">
        <is>
          <t>Burundi</t>
        </is>
      </c>
      <c r="C87" t="inlineStr">
        <is>
          <t>BUR04</t>
        </is>
      </c>
      <c r="D87" t="n">
        <v>0.5</v>
      </c>
      <c r="E87" t="inlineStr">
        <is>
          <t>KP - Project Director</t>
        </is>
      </c>
      <c r="F87">
        <f>SUMIF($A$2:$A$1594,A87,$D$2:$D$1594)</f>
        <v/>
      </c>
    </row>
    <row r="88">
      <c r="A88" t="inlineStr">
        <is>
          <t>Mawandia, Shreshth</t>
        </is>
      </c>
      <c r="B88" t="inlineStr">
        <is>
          <t>Burundi</t>
        </is>
      </c>
      <c r="C88" t="inlineStr">
        <is>
          <t>BUR05</t>
        </is>
      </c>
      <c r="D88" t="n">
        <v>0.5</v>
      </c>
      <c r="E88" t="inlineStr">
        <is>
          <t>KP - Project Director</t>
        </is>
      </c>
      <c r="F88">
        <f>SUMIF($A$2:$A$1594,A88,$D$2:$D$1594)</f>
        <v/>
      </c>
    </row>
    <row r="89">
      <c r="A89" t="inlineStr">
        <is>
          <t>Mawandia, Shreshth</t>
        </is>
      </c>
      <c r="B89" t="inlineStr">
        <is>
          <t>Burundi</t>
        </is>
      </c>
      <c r="C89" t="inlineStr">
        <is>
          <t>BUR06</t>
        </is>
      </c>
      <c r="D89" t="n">
        <v>0.5</v>
      </c>
      <c r="E89" t="inlineStr">
        <is>
          <t>KP - Project Director</t>
        </is>
      </c>
      <c r="F89">
        <f>SUMIF($A$2:$A$1594,A89,$D$2:$D$1594)</f>
        <v/>
      </c>
    </row>
    <row r="90">
      <c r="A90" t="inlineStr">
        <is>
          <t>Mawandia, Shreshth</t>
        </is>
      </c>
      <c r="B90" t="inlineStr">
        <is>
          <t>Burundi</t>
        </is>
      </c>
      <c r="C90" t="inlineStr">
        <is>
          <t>BUR07</t>
        </is>
      </c>
      <c r="D90" t="n">
        <v>1</v>
      </c>
      <c r="E90" t="inlineStr">
        <is>
          <t>KP - Project Director</t>
        </is>
      </c>
      <c r="F90">
        <f>SUMIF($A$2:$A$1594,A90,$D$2:$D$1594)</f>
        <v/>
      </c>
    </row>
    <row r="91">
      <c r="A91" t="inlineStr">
        <is>
          <t>Mawandia, Shreshth</t>
        </is>
      </c>
      <c r="B91" t="inlineStr">
        <is>
          <t>Burundi</t>
        </is>
      </c>
      <c r="C91" t="inlineStr">
        <is>
          <t>BUR08</t>
        </is>
      </c>
      <c r="D91" t="n">
        <v>1</v>
      </c>
      <c r="E91" t="inlineStr">
        <is>
          <t>KP - Project Director</t>
        </is>
      </c>
      <c r="F91">
        <f>SUMIF($A$2:$A$1594,A91,$D$2:$D$1594)</f>
        <v/>
      </c>
    </row>
    <row r="92">
      <c r="A92" t="inlineStr">
        <is>
          <t>Nigussie, Netsanet</t>
        </is>
      </c>
      <c r="B92" t="inlineStr">
        <is>
          <t>Burundi</t>
        </is>
      </c>
      <c r="C92" t="inlineStr">
        <is>
          <t>BUR01</t>
        </is>
      </c>
      <c r="D92" t="n">
        <v>0.5</v>
      </c>
      <c r="E92" t="inlineStr">
        <is>
          <t>KP - Technical Director</t>
        </is>
      </c>
      <c r="F92">
        <f>SUMIF($A$2:$A$1594,A92,$D$2:$D$1594)</f>
        <v/>
      </c>
    </row>
    <row r="93">
      <c r="A93" t="inlineStr">
        <is>
          <t>Nigussie, Netsanet</t>
        </is>
      </c>
      <c r="B93" t="inlineStr">
        <is>
          <t>Burundi</t>
        </is>
      </c>
      <c r="C93" t="inlineStr">
        <is>
          <t>BUR02</t>
        </is>
      </c>
      <c r="D93" t="n">
        <v>0.5</v>
      </c>
      <c r="E93" t="inlineStr">
        <is>
          <t>KP - Technical Director</t>
        </is>
      </c>
      <c r="F93">
        <f>SUMIF($A$2:$A$1594,A93,$D$2:$D$1594)</f>
        <v/>
      </c>
    </row>
    <row r="94">
      <c r="A94" t="inlineStr">
        <is>
          <t>Nigussie, Netsanet</t>
        </is>
      </c>
      <c r="B94" t="inlineStr">
        <is>
          <t>Burundi</t>
        </is>
      </c>
      <c r="C94" t="inlineStr">
        <is>
          <t>BUR03</t>
        </is>
      </c>
      <c r="D94" t="n">
        <v>0.5</v>
      </c>
      <c r="E94" t="inlineStr">
        <is>
          <t>KP - Technical Director</t>
        </is>
      </c>
      <c r="F94">
        <f>SUMIF($A$2:$A$1594,A94,$D$2:$D$1594)</f>
        <v/>
      </c>
    </row>
    <row r="95">
      <c r="A95" t="inlineStr">
        <is>
          <t>Nigussie, Netsanet</t>
        </is>
      </c>
      <c r="B95" t="inlineStr">
        <is>
          <t>Burundi</t>
        </is>
      </c>
      <c r="C95" t="inlineStr">
        <is>
          <t>BUR04</t>
        </is>
      </c>
      <c r="D95" t="n">
        <v>0.5</v>
      </c>
      <c r="E95" t="inlineStr">
        <is>
          <t>KP - Technical Director</t>
        </is>
      </c>
      <c r="F95">
        <f>SUMIF($A$2:$A$1594,A95,$D$2:$D$1594)</f>
        <v/>
      </c>
    </row>
    <row r="96">
      <c r="A96" t="inlineStr">
        <is>
          <t>Nigussie, Netsanet</t>
        </is>
      </c>
      <c r="B96" t="inlineStr">
        <is>
          <t>Burundi</t>
        </is>
      </c>
      <c r="C96" t="inlineStr">
        <is>
          <t>BUR05</t>
        </is>
      </c>
      <c r="D96" t="n">
        <v>0.5</v>
      </c>
      <c r="E96" t="inlineStr">
        <is>
          <t>KP - Technical Director</t>
        </is>
      </c>
      <c r="F96">
        <f>SUMIF($A$2:$A$1594,A96,$D$2:$D$1594)</f>
        <v/>
      </c>
    </row>
    <row r="97">
      <c r="A97" t="inlineStr">
        <is>
          <t>Nigussie, Netsanet</t>
        </is>
      </c>
      <c r="B97" t="inlineStr">
        <is>
          <t>Burundi</t>
        </is>
      </c>
      <c r="C97" t="inlineStr">
        <is>
          <t>BUR06</t>
        </is>
      </c>
      <c r="D97" t="n">
        <v>0.5</v>
      </c>
      <c r="E97" t="inlineStr">
        <is>
          <t>KP - Technical Director</t>
        </is>
      </c>
      <c r="F97">
        <f>SUMIF($A$2:$A$1594,A97,$D$2:$D$1594)</f>
        <v/>
      </c>
    </row>
    <row r="98">
      <c r="A98" t="inlineStr">
        <is>
          <t>Nigussie, Netsanet</t>
        </is>
      </c>
      <c r="B98" t="inlineStr">
        <is>
          <t>Burundi</t>
        </is>
      </c>
      <c r="C98" t="inlineStr">
        <is>
          <t>BUR07</t>
        </is>
      </c>
      <c r="D98" t="n">
        <v>1</v>
      </c>
      <c r="E98" t="inlineStr">
        <is>
          <t>KP - Technical Director</t>
        </is>
      </c>
      <c r="F98">
        <f>SUMIF($A$2:$A$1594,A98,$D$2:$D$1594)</f>
        <v/>
      </c>
    </row>
    <row r="99">
      <c r="A99" t="inlineStr">
        <is>
          <t>Nigussie, Netsanet</t>
        </is>
      </c>
      <c r="B99" t="inlineStr">
        <is>
          <t>Burundi</t>
        </is>
      </c>
      <c r="C99" t="inlineStr">
        <is>
          <t>BUR08</t>
        </is>
      </c>
      <c r="D99" t="n">
        <v>1</v>
      </c>
      <c r="E99" t="inlineStr">
        <is>
          <t>KP - Technical Director</t>
        </is>
      </c>
      <c r="F99">
        <f>SUMIF($A$2:$A$1594,A99,$D$2:$D$1594)</f>
        <v/>
      </c>
    </row>
    <row r="100">
      <c r="A100" t="inlineStr">
        <is>
          <t>Mensah, Margaret</t>
        </is>
      </c>
      <c r="B100" t="inlineStr">
        <is>
          <t>Burundi</t>
        </is>
      </c>
      <c r="C100" t="inlineStr">
        <is>
          <t>BUR01</t>
        </is>
      </c>
      <c r="D100" t="n">
        <v>0.5</v>
      </c>
      <c r="E100" t="inlineStr">
        <is>
          <t>KP - Finance Director</t>
        </is>
      </c>
      <c r="F100">
        <f>SUMIF($A$2:$A$1594,A100,$D$2:$D$1594)</f>
        <v/>
      </c>
    </row>
    <row r="101">
      <c r="A101" t="inlineStr">
        <is>
          <t>Mensah, Margaret</t>
        </is>
      </c>
      <c r="B101" t="inlineStr">
        <is>
          <t>Burundi</t>
        </is>
      </c>
      <c r="C101" t="inlineStr">
        <is>
          <t>BUR02</t>
        </is>
      </c>
      <c r="D101" t="n">
        <v>0.5</v>
      </c>
      <c r="E101" t="inlineStr">
        <is>
          <t>KP - Finance Director</t>
        </is>
      </c>
      <c r="F101">
        <f>SUMIF($A$2:$A$1594,A101,$D$2:$D$1594)</f>
        <v/>
      </c>
    </row>
    <row r="102">
      <c r="A102" t="inlineStr">
        <is>
          <t>Mensah, Margaret</t>
        </is>
      </c>
      <c r="B102" t="inlineStr">
        <is>
          <t>Burundi</t>
        </is>
      </c>
      <c r="C102" t="inlineStr">
        <is>
          <t>BUR03</t>
        </is>
      </c>
      <c r="D102" t="n">
        <v>0.5</v>
      </c>
      <c r="E102" t="inlineStr">
        <is>
          <t>KP - Finance Director</t>
        </is>
      </c>
      <c r="F102">
        <f>SUMIF($A$2:$A$1594,A102,$D$2:$D$1594)</f>
        <v/>
      </c>
    </row>
    <row r="103">
      <c r="A103" t="inlineStr">
        <is>
          <t>Mensah, Margaret</t>
        </is>
      </c>
      <c r="B103" t="inlineStr">
        <is>
          <t>Burundi</t>
        </is>
      </c>
      <c r="C103" t="inlineStr">
        <is>
          <t>BUR04</t>
        </is>
      </c>
      <c r="D103" t="n">
        <v>0.5</v>
      </c>
      <c r="E103" t="inlineStr">
        <is>
          <t>KP - Finance Director</t>
        </is>
      </c>
      <c r="F103">
        <f>SUMIF($A$2:$A$1594,A103,$D$2:$D$1594)</f>
        <v/>
      </c>
    </row>
    <row r="104">
      <c r="A104" t="inlineStr">
        <is>
          <t>Mensah, Margaret</t>
        </is>
      </c>
      <c r="B104" t="inlineStr">
        <is>
          <t>Burundi</t>
        </is>
      </c>
      <c r="C104" t="inlineStr">
        <is>
          <t>BUR05</t>
        </is>
      </c>
      <c r="D104" t="n">
        <v>0.5</v>
      </c>
      <c r="E104" t="inlineStr">
        <is>
          <t>KP - Finance Director</t>
        </is>
      </c>
      <c r="F104">
        <f>SUMIF($A$2:$A$1594,A104,$D$2:$D$1594)</f>
        <v/>
      </c>
    </row>
    <row r="105">
      <c r="A105" t="inlineStr">
        <is>
          <t>Mensah, Margaret</t>
        </is>
      </c>
      <c r="B105" t="inlineStr">
        <is>
          <t>Burundi</t>
        </is>
      </c>
      <c r="C105" t="inlineStr">
        <is>
          <t>BUR06</t>
        </is>
      </c>
      <c r="D105" t="n">
        <v>0.5</v>
      </c>
      <c r="E105" t="inlineStr">
        <is>
          <t>KP - Finance Director</t>
        </is>
      </c>
      <c r="F105">
        <f>SUMIF($A$2:$A$1594,A105,$D$2:$D$1594)</f>
        <v/>
      </c>
    </row>
    <row r="106">
      <c r="A106" t="inlineStr">
        <is>
          <t>Mensah, Margaret</t>
        </is>
      </c>
      <c r="B106" t="inlineStr">
        <is>
          <t>Burundi</t>
        </is>
      </c>
      <c r="C106" t="inlineStr">
        <is>
          <t>BUR07</t>
        </is>
      </c>
      <c r="D106" t="n">
        <v>1</v>
      </c>
      <c r="E106" t="inlineStr">
        <is>
          <t>KP - Finance Director</t>
        </is>
      </c>
      <c r="F106">
        <f>SUMIF($A$2:$A$1594,A106,$D$2:$D$1594)</f>
        <v/>
      </c>
    </row>
    <row r="107">
      <c r="A107" t="inlineStr">
        <is>
          <t>Mensah, Margaret</t>
        </is>
      </c>
      <c r="B107" t="inlineStr">
        <is>
          <t>Burundi</t>
        </is>
      </c>
      <c r="C107" t="inlineStr">
        <is>
          <t>BUR08</t>
        </is>
      </c>
      <c r="D107" t="n">
        <v>1</v>
      </c>
      <c r="E107" t="inlineStr">
        <is>
          <t>KP - Finance Director</t>
        </is>
      </c>
      <c r="F107">
        <f>SUMIF($A$2:$A$1594,A107,$D$2:$D$1594)</f>
        <v/>
      </c>
    </row>
    <row r="108">
      <c r="A108" t="inlineStr">
        <is>
          <t>Friedman, Jonathan</t>
        </is>
      </c>
      <c r="B108" t="inlineStr">
        <is>
          <t>Burundi</t>
        </is>
      </c>
      <c r="C108" t="inlineStr">
        <is>
          <t>BUR01</t>
        </is>
      </c>
      <c r="D108" t="n">
        <v>0.5</v>
      </c>
      <c r="E108" t="inlineStr">
        <is>
          <t>AI/ML Lead</t>
        </is>
      </c>
      <c r="F108">
        <f>SUMIF($A$2:$A$1594,A108,$D$2:$D$1594)</f>
        <v/>
      </c>
    </row>
    <row r="109">
      <c r="A109" t="inlineStr">
        <is>
          <t>Friedman, Jonathan</t>
        </is>
      </c>
      <c r="B109" t="inlineStr">
        <is>
          <t>Burundi</t>
        </is>
      </c>
      <c r="C109" t="inlineStr">
        <is>
          <t>BUR02</t>
        </is>
      </c>
      <c r="D109" t="n">
        <v>0.5</v>
      </c>
      <c r="E109" t="inlineStr">
        <is>
          <t>AI/ML Lead</t>
        </is>
      </c>
      <c r="F109">
        <f>SUMIF($A$2:$A$1594,A109,$D$2:$D$1594)</f>
        <v/>
      </c>
    </row>
    <row r="110">
      <c r="A110" t="inlineStr">
        <is>
          <t>Friedman, Jonathan</t>
        </is>
      </c>
      <c r="B110" t="inlineStr">
        <is>
          <t>Burundi</t>
        </is>
      </c>
      <c r="C110" t="inlineStr">
        <is>
          <t>BUR03</t>
        </is>
      </c>
      <c r="D110" t="n">
        <v>0.5</v>
      </c>
      <c r="E110" t="inlineStr">
        <is>
          <t>AI/ML Lead</t>
        </is>
      </c>
      <c r="F110">
        <f>SUMIF($A$2:$A$1594,A110,$D$2:$D$1594)</f>
        <v/>
      </c>
    </row>
    <row r="111">
      <c r="A111" t="inlineStr">
        <is>
          <t>Friedman, Jonathan</t>
        </is>
      </c>
      <c r="B111" t="inlineStr">
        <is>
          <t>Burundi</t>
        </is>
      </c>
      <c r="C111" t="inlineStr">
        <is>
          <t>BUR04</t>
        </is>
      </c>
      <c r="D111" t="n">
        <v>0.5</v>
      </c>
      <c r="E111" t="inlineStr">
        <is>
          <t>AI/ML Lead</t>
        </is>
      </c>
      <c r="F111">
        <f>SUMIF($A$2:$A$1594,A111,$D$2:$D$1594)</f>
        <v/>
      </c>
    </row>
    <row r="112">
      <c r="A112" t="inlineStr">
        <is>
          <t>Friedman, Jonathan</t>
        </is>
      </c>
      <c r="B112" t="inlineStr">
        <is>
          <t>Burundi</t>
        </is>
      </c>
      <c r="C112" t="inlineStr">
        <is>
          <t>BUR05</t>
        </is>
      </c>
      <c r="D112" t="n">
        <v>0.5</v>
      </c>
      <c r="E112" t="inlineStr">
        <is>
          <t>AI/ML Lead</t>
        </is>
      </c>
      <c r="F112">
        <f>SUMIF($A$2:$A$1594,A112,$D$2:$D$1594)</f>
        <v/>
      </c>
    </row>
    <row r="113">
      <c r="A113" t="inlineStr">
        <is>
          <t>Friedman, Jonathan</t>
        </is>
      </c>
      <c r="B113" t="inlineStr">
        <is>
          <t>Burundi</t>
        </is>
      </c>
      <c r="C113" t="inlineStr">
        <is>
          <t>BUR06</t>
        </is>
      </c>
      <c r="D113" t="n">
        <v>0.5</v>
      </c>
      <c r="E113" t="inlineStr">
        <is>
          <t>AI/ML Lead</t>
        </is>
      </c>
      <c r="F113">
        <f>SUMIF($A$2:$A$1594,A113,$D$2:$D$1594)</f>
        <v/>
      </c>
    </row>
    <row r="114">
      <c r="A114" t="inlineStr">
        <is>
          <t>Friedman, Jonathan</t>
        </is>
      </c>
      <c r="B114" t="inlineStr">
        <is>
          <t>Burundi</t>
        </is>
      </c>
      <c r="C114" t="inlineStr">
        <is>
          <t>BUR07</t>
        </is>
      </c>
      <c r="D114" t="n">
        <v>1</v>
      </c>
      <c r="E114" t="inlineStr">
        <is>
          <t>AI/ML Lead</t>
        </is>
      </c>
      <c r="F114">
        <f>SUMIF($A$2:$A$1594,A114,$D$2:$D$1594)</f>
        <v/>
      </c>
    </row>
    <row r="115">
      <c r="A115" t="inlineStr">
        <is>
          <t>Friedman, Jonathan</t>
        </is>
      </c>
      <c r="B115" t="inlineStr">
        <is>
          <t>Burundi</t>
        </is>
      </c>
      <c r="C115" t="inlineStr">
        <is>
          <t>BUR08</t>
        </is>
      </c>
      <c r="D115" t="n">
        <v>1</v>
      </c>
      <c r="E115" t="inlineStr">
        <is>
          <t>AI/ML Lead</t>
        </is>
      </c>
      <c r="F115">
        <f>SUMIF($A$2:$A$1594,A115,$D$2:$D$1594)</f>
        <v/>
      </c>
    </row>
    <row r="116">
      <c r="A116" t="inlineStr">
        <is>
          <t>Mavyuva, Boniface</t>
        </is>
      </c>
      <c r="B116" t="inlineStr">
        <is>
          <t>Burundi</t>
        </is>
      </c>
      <c r="C116" t="inlineStr">
        <is>
          <t>BUR01</t>
        </is>
      </c>
      <c r="D116" t="n">
        <v>0.5</v>
      </c>
      <c r="E116" t="inlineStr">
        <is>
          <t>Dig Infrastructure Lead</t>
        </is>
      </c>
      <c r="F116">
        <f>SUMIF($A$2:$A$1594,A116,$D$2:$D$1594)</f>
        <v/>
      </c>
    </row>
    <row r="117">
      <c r="A117" t="inlineStr">
        <is>
          <t>Mavyuva, Boniface</t>
        </is>
      </c>
      <c r="B117" t="inlineStr">
        <is>
          <t>Burundi</t>
        </is>
      </c>
      <c r="C117" t="inlineStr">
        <is>
          <t>BUR03</t>
        </is>
      </c>
      <c r="D117" t="n">
        <v>0.5</v>
      </c>
      <c r="E117" t="inlineStr">
        <is>
          <t>Dig Infrastructure Lead</t>
        </is>
      </c>
      <c r="F117">
        <f>SUMIF($A$2:$A$1594,A117,$D$2:$D$1594)</f>
        <v/>
      </c>
    </row>
    <row r="118">
      <c r="A118" t="inlineStr">
        <is>
          <t>Mavyuva, Boniface</t>
        </is>
      </c>
      <c r="B118" t="inlineStr">
        <is>
          <t>Burundi</t>
        </is>
      </c>
      <c r="C118" t="inlineStr">
        <is>
          <t>BUR05</t>
        </is>
      </c>
      <c r="D118" t="n">
        <v>0.5</v>
      </c>
      <c r="E118" t="inlineStr">
        <is>
          <t>Dig Infrastructure Lead</t>
        </is>
      </c>
      <c r="F118">
        <f>SUMIF($A$2:$A$1594,A118,$D$2:$D$1594)</f>
        <v/>
      </c>
    </row>
    <row r="119">
      <c r="A119" t="inlineStr">
        <is>
          <t>Mavyuva, Boniface</t>
        </is>
      </c>
      <c r="B119" t="inlineStr">
        <is>
          <t>Burundi</t>
        </is>
      </c>
      <c r="C119" t="inlineStr">
        <is>
          <t>BUR07</t>
        </is>
      </c>
      <c r="D119" t="n">
        <v>0.5</v>
      </c>
      <c r="E119" t="inlineStr">
        <is>
          <t>Dig Infrastructure Lead</t>
        </is>
      </c>
      <c r="F119">
        <f>SUMIF($A$2:$A$1594,A119,$D$2:$D$1594)</f>
        <v/>
      </c>
    </row>
    <row r="120">
      <c r="A120" t="inlineStr">
        <is>
          <t>Ogana, Nelson</t>
        </is>
      </c>
      <c r="B120" t="inlineStr">
        <is>
          <t>Burundi</t>
        </is>
      </c>
      <c r="C120" t="inlineStr">
        <is>
          <t>BUR01</t>
        </is>
      </c>
      <c r="D120" t="n">
        <v>0.5</v>
      </c>
      <c r="E120" t="inlineStr">
        <is>
          <t>Infosec Co-Lead</t>
        </is>
      </c>
      <c r="F120">
        <f>SUMIF($A$2:$A$1594,A120,$D$2:$D$1594)</f>
        <v/>
      </c>
    </row>
    <row r="121">
      <c r="A121" t="inlineStr">
        <is>
          <t>Ogana, Nelson</t>
        </is>
      </c>
      <c r="B121" t="inlineStr">
        <is>
          <t>Burundi</t>
        </is>
      </c>
      <c r="C121" t="inlineStr">
        <is>
          <t>BUR02</t>
        </is>
      </c>
      <c r="D121" t="n">
        <v>0.5</v>
      </c>
      <c r="E121" t="inlineStr">
        <is>
          <t>Infosec Co-Lead</t>
        </is>
      </c>
      <c r="F121">
        <f>SUMIF($A$2:$A$1594,A121,$D$2:$D$1594)</f>
        <v/>
      </c>
    </row>
    <row r="122">
      <c r="A122" t="inlineStr">
        <is>
          <t>Ogana, Nelson</t>
        </is>
      </c>
      <c r="B122" t="inlineStr">
        <is>
          <t>Burundi</t>
        </is>
      </c>
      <c r="C122" t="inlineStr">
        <is>
          <t>BUR03</t>
        </is>
      </c>
      <c r="D122" t="n">
        <v>0.5</v>
      </c>
      <c r="E122" t="inlineStr">
        <is>
          <t>Infosec Co-Lead</t>
        </is>
      </c>
      <c r="F122">
        <f>SUMIF($A$2:$A$1594,A122,$D$2:$D$1594)</f>
        <v/>
      </c>
    </row>
    <row r="123">
      <c r="A123" t="inlineStr">
        <is>
          <t>Ogana, Nelson</t>
        </is>
      </c>
      <c r="B123" t="inlineStr">
        <is>
          <t>Burundi</t>
        </is>
      </c>
      <c r="C123" t="inlineStr">
        <is>
          <t>BUR04</t>
        </is>
      </c>
      <c r="D123" t="n">
        <v>0.5</v>
      </c>
      <c r="E123" t="inlineStr">
        <is>
          <t>Infosec Co-Lead</t>
        </is>
      </c>
      <c r="F123">
        <f>SUMIF($A$2:$A$1594,A123,$D$2:$D$1594)</f>
        <v/>
      </c>
    </row>
    <row r="124">
      <c r="A124" t="inlineStr">
        <is>
          <t>Ogana, Nelson</t>
        </is>
      </c>
      <c r="B124" t="inlineStr">
        <is>
          <t>Burundi</t>
        </is>
      </c>
      <c r="C124" t="inlineStr">
        <is>
          <t>BUR05</t>
        </is>
      </c>
      <c r="D124" t="n">
        <v>0.5</v>
      </c>
      <c r="E124" t="inlineStr">
        <is>
          <t>Infosec Co-Lead</t>
        </is>
      </c>
      <c r="F124">
        <f>SUMIF($A$2:$A$1594,A124,$D$2:$D$1594)</f>
        <v/>
      </c>
    </row>
    <row r="125">
      <c r="A125" t="inlineStr">
        <is>
          <t>Ogana, Nelson</t>
        </is>
      </c>
      <c r="B125" t="inlineStr">
        <is>
          <t>Burundi</t>
        </is>
      </c>
      <c r="C125" t="inlineStr">
        <is>
          <t>BUR06</t>
        </is>
      </c>
      <c r="D125" t="n">
        <v>0.5</v>
      </c>
      <c r="E125" t="inlineStr">
        <is>
          <t>Infosec Co-Lead</t>
        </is>
      </c>
      <c r="F125">
        <f>SUMIF($A$2:$A$1594,A125,$D$2:$D$1594)</f>
        <v/>
      </c>
    </row>
    <row r="126">
      <c r="A126" t="inlineStr">
        <is>
          <t>Ogana, Nelson</t>
        </is>
      </c>
      <c r="B126" t="inlineStr">
        <is>
          <t>Burundi</t>
        </is>
      </c>
      <c r="C126" t="inlineStr">
        <is>
          <t>BUR07</t>
        </is>
      </c>
      <c r="D126" t="n">
        <v>1</v>
      </c>
      <c r="E126" t="inlineStr">
        <is>
          <t>Infosec Co-Lead</t>
        </is>
      </c>
      <c r="F126">
        <f>SUMIF($A$2:$A$1594,A126,$D$2:$D$1594)</f>
        <v/>
      </c>
    </row>
    <row r="127">
      <c r="A127" t="inlineStr">
        <is>
          <t>Ogana, Nelson</t>
        </is>
      </c>
      <c r="B127" t="inlineStr">
        <is>
          <t>Burundi</t>
        </is>
      </c>
      <c r="C127" t="inlineStr">
        <is>
          <t>BUR08</t>
        </is>
      </c>
      <c r="D127" t="n">
        <v>1</v>
      </c>
      <c r="E127" t="inlineStr">
        <is>
          <t>Infosec Co-Lead</t>
        </is>
      </c>
      <c r="F127">
        <f>SUMIF($A$2:$A$1594,A127,$D$2:$D$1594)</f>
        <v/>
      </c>
    </row>
    <row r="128">
      <c r="A128" t="inlineStr">
        <is>
          <t>Showalter, Caitlin</t>
        </is>
      </c>
      <c r="B128" t="inlineStr">
        <is>
          <t>Burundi</t>
        </is>
      </c>
      <c r="C128" t="inlineStr">
        <is>
          <t>BUR01</t>
        </is>
      </c>
      <c r="D128" t="n">
        <v>0.5</v>
      </c>
      <c r="E128" t="inlineStr">
        <is>
          <t>M&amp;E and Learning</t>
        </is>
      </c>
      <c r="F128">
        <f>SUMIF($A$2:$A$1594,A128,$D$2:$D$1594)</f>
        <v/>
      </c>
    </row>
    <row r="129">
      <c r="A129" t="inlineStr">
        <is>
          <t>Showalter, Caitlin</t>
        </is>
      </c>
      <c r="B129" t="inlineStr">
        <is>
          <t>Burundi</t>
        </is>
      </c>
      <c r="C129" t="inlineStr">
        <is>
          <t>BUR02</t>
        </is>
      </c>
      <c r="D129" t="n">
        <v>0.5</v>
      </c>
      <c r="E129" t="inlineStr">
        <is>
          <t>M&amp;E and Learning</t>
        </is>
      </c>
      <c r="F129">
        <f>SUMIF($A$2:$A$1594,A129,$D$2:$D$1594)</f>
        <v/>
      </c>
    </row>
    <row r="130">
      <c r="A130" t="inlineStr">
        <is>
          <t>Showalter, Caitlin</t>
        </is>
      </c>
      <c r="B130" t="inlineStr">
        <is>
          <t>Burundi</t>
        </is>
      </c>
      <c r="C130" t="inlineStr">
        <is>
          <t>BUR03</t>
        </is>
      </c>
      <c r="D130" t="n">
        <v>0.5</v>
      </c>
      <c r="E130" t="inlineStr">
        <is>
          <t>M&amp;E and Learning</t>
        </is>
      </c>
      <c r="F130">
        <f>SUMIF($A$2:$A$1594,A130,$D$2:$D$1594)</f>
        <v/>
      </c>
    </row>
    <row r="131">
      <c r="A131" t="inlineStr">
        <is>
          <t>Showalter, Caitlin</t>
        </is>
      </c>
      <c r="B131" t="inlineStr">
        <is>
          <t>Burundi</t>
        </is>
      </c>
      <c r="C131" t="inlineStr">
        <is>
          <t>BUR04</t>
        </is>
      </c>
      <c r="D131" t="n">
        <v>0.5</v>
      </c>
      <c r="E131" t="inlineStr">
        <is>
          <t>M&amp;E and Learning</t>
        </is>
      </c>
      <c r="F131">
        <f>SUMIF($A$2:$A$1594,A131,$D$2:$D$1594)</f>
        <v/>
      </c>
    </row>
    <row r="132">
      <c r="A132" t="inlineStr">
        <is>
          <t>Showalter, Caitlin</t>
        </is>
      </c>
      <c r="B132" t="inlineStr">
        <is>
          <t>Burundi</t>
        </is>
      </c>
      <c r="C132" t="inlineStr">
        <is>
          <t>BUR05</t>
        </is>
      </c>
      <c r="D132" t="n">
        <v>0.5</v>
      </c>
      <c r="E132" t="inlineStr">
        <is>
          <t>M&amp;E and Learning</t>
        </is>
      </c>
      <c r="F132">
        <f>SUMIF($A$2:$A$1594,A132,$D$2:$D$1594)</f>
        <v/>
      </c>
    </row>
    <row r="133">
      <c r="A133" t="inlineStr">
        <is>
          <t>Showalter, Caitlin</t>
        </is>
      </c>
      <c r="B133" t="inlineStr">
        <is>
          <t>Burundi</t>
        </is>
      </c>
      <c r="C133" t="inlineStr">
        <is>
          <t>BUR06</t>
        </is>
      </c>
      <c r="D133" t="n">
        <v>0.5</v>
      </c>
      <c r="E133" t="inlineStr">
        <is>
          <t>M&amp;E and Learning</t>
        </is>
      </c>
      <c r="F133">
        <f>SUMIF($A$2:$A$1594,A133,$D$2:$D$1594)</f>
        <v/>
      </c>
    </row>
    <row r="134">
      <c r="A134" t="inlineStr">
        <is>
          <t>Showalter, Caitlin</t>
        </is>
      </c>
      <c r="B134" t="inlineStr">
        <is>
          <t>Burundi</t>
        </is>
      </c>
      <c r="C134" t="inlineStr">
        <is>
          <t>BUR07</t>
        </is>
      </c>
      <c r="D134" t="n">
        <v>1</v>
      </c>
      <c r="E134" t="inlineStr">
        <is>
          <t>M&amp;E and Learning</t>
        </is>
      </c>
      <c r="F134">
        <f>SUMIF($A$2:$A$1594,A134,$D$2:$D$1594)</f>
        <v/>
      </c>
    </row>
    <row r="135">
      <c r="A135" t="inlineStr">
        <is>
          <t>Showalter, Caitlin</t>
        </is>
      </c>
      <c r="B135" t="inlineStr">
        <is>
          <t>Burundi</t>
        </is>
      </c>
      <c r="C135" t="inlineStr">
        <is>
          <t>BUR08</t>
        </is>
      </c>
      <c r="D135" t="n">
        <v>1</v>
      </c>
      <c r="E135" t="inlineStr">
        <is>
          <t>M&amp;E and Learning</t>
        </is>
      </c>
      <c r="F135">
        <f>SUMIF($A$2:$A$1594,A135,$D$2:$D$1594)</f>
        <v/>
      </c>
    </row>
    <row r="136">
      <c r="A136" t="inlineStr">
        <is>
          <t>Miranda Rondon de Ro, Ing</t>
        </is>
      </c>
      <c r="B136" t="inlineStr">
        <is>
          <t>Burundi</t>
        </is>
      </c>
      <c r="C136" t="inlineStr">
        <is>
          <t>BUR01</t>
        </is>
      </c>
      <c r="D136" t="n">
        <v>0.5</v>
      </c>
      <c r="E136" t="inlineStr">
        <is>
          <t>M&amp;E and Learning</t>
        </is>
      </c>
      <c r="F136">
        <f>SUMIF($A$2:$A$1594,A136,$D$2:$D$1594)</f>
        <v/>
      </c>
    </row>
    <row r="137">
      <c r="A137" t="inlineStr">
        <is>
          <t>Miranda Rondon de Ro, Ing</t>
        </is>
      </c>
      <c r="B137" t="inlineStr">
        <is>
          <t>Burundi</t>
        </is>
      </c>
      <c r="C137" t="inlineStr">
        <is>
          <t>BUR02</t>
        </is>
      </c>
      <c r="D137" t="n">
        <v>0.5</v>
      </c>
      <c r="E137" t="inlineStr">
        <is>
          <t>M&amp;E and Learning</t>
        </is>
      </c>
      <c r="F137">
        <f>SUMIF($A$2:$A$1594,A137,$D$2:$D$1594)</f>
        <v/>
      </c>
    </row>
    <row r="138">
      <c r="A138" t="inlineStr">
        <is>
          <t>Miranda Rondon de Ro, Ing</t>
        </is>
      </c>
      <c r="B138" t="inlineStr">
        <is>
          <t>Burundi</t>
        </is>
      </c>
      <c r="C138" t="inlineStr">
        <is>
          <t>BUR03</t>
        </is>
      </c>
      <c r="D138" t="n">
        <v>0.5</v>
      </c>
      <c r="E138" t="inlineStr">
        <is>
          <t>M&amp;E and Learning</t>
        </is>
      </c>
      <c r="F138">
        <f>SUMIF($A$2:$A$1594,A138,$D$2:$D$1594)</f>
        <v/>
      </c>
    </row>
    <row r="139">
      <c r="A139" t="inlineStr">
        <is>
          <t>Miranda Rondon de Ro, Ing</t>
        </is>
      </c>
      <c r="B139" t="inlineStr">
        <is>
          <t>Burundi</t>
        </is>
      </c>
      <c r="C139" t="inlineStr">
        <is>
          <t>BUR04</t>
        </is>
      </c>
      <c r="D139" t="n">
        <v>0.5</v>
      </c>
      <c r="E139" t="inlineStr">
        <is>
          <t>M&amp;E and Learning</t>
        </is>
      </c>
      <c r="F139">
        <f>SUMIF($A$2:$A$1594,A139,$D$2:$D$1594)</f>
        <v/>
      </c>
    </row>
    <row r="140">
      <c r="A140" t="inlineStr">
        <is>
          <t>Miranda Rondon de Ro, Ing</t>
        </is>
      </c>
      <c r="B140" t="inlineStr">
        <is>
          <t>Burundi</t>
        </is>
      </c>
      <c r="C140" t="inlineStr">
        <is>
          <t>BUR05</t>
        </is>
      </c>
      <c r="D140" t="n">
        <v>0.5</v>
      </c>
      <c r="E140" t="inlineStr">
        <is>
          <t>M&amp;E and Learning</t>
        </is>
      </c>
      <c r="F140">
        <f>SUMIF($A$2:$A$1594,A140,$D$2:$D$1594)</f>
        <v/>
      </c>
    </row>
    <row r="141">
      <c r="A141" t="inlineStr">
        <is>
          <t>Miranda Rondon de Ro, Ing</t>
        </is>
      </c>
      <c r="B141" t="inlineStr">
        <is>
          <t>Burundi</t>
        </is>
      </c>
      <c r="C141" t="inlineStr">
        <is>
          <t>BUR06</t>
        </is>
      </c>
      <c r="D141" t="n">
        <v>0.5</v>
      </c>
      <c r="E141" t="inlineStr">
        <is>
          <t>M&amp;E and Learning</t>
        </is>
      </c>
      <c r="F141">
        <f>SUMIF($A$2:$A$1594,A141,$D$2:$D$1594)</f>
        <v/>
      </c>
    </row>
    <row r="142">
      <c r="A142" t="inlineStr">
        <is>
          <t>Miranda Rondon de Ro, Ing</t>
        </is>
      </c>
      <c r="B142" t="inlineStr">
        <is>
          <t>Burundi</t>
        </is>
      </c>
      <c r="C142" t="inlineStr">
        <is>
          <t>BUR07</t>
        </is>
      </c>
      <c r="D142" t="n">
        <v>1</v>
      </c>
      <c r="E142" t="inlineStr">
        <is>
          <t>M&amp;E and Learning</t>
        </is>
      </c>
      <c r="F142">
        <f>SUMIF($A$2:$A$1594,A142,$D$2:$D$1594)</f>
        <v/>
      </c>
    </row>
    <row r="143">
      <c r="A143" t="inlineStr">
        <is>
          <t>Miranda Rondon de Ro, Ing</t>
        </is>
      </c>
      <c r="B143" t="inlineStr">
        <is>
          <t>Burundi</t>
        </is>
      </c>
      <c r="C143" t="inlineStr">
        <is>
          <t>BUR08</t>
        </is>
      </c>
      <c r="D143" t="n">
        <v>1</v>
      </c>
      <c r="E143" t="inlineStr">
        <is>
          <t>M&amp;E and Learning</t>
        </is>
      </c>
      <c r="F143">
        <f>SUMIF($A$2:$A$1594,A143,$D$2:$D$1594)</f>
        <v/>
      </c>
    </row>
    <row r="144">
      <c r="A144" t="inlineStr">
        <is>
          <t>Sakaguchi, Kevin</t>
        </is>
      </c>
      <c r="B144" t="inlineStr">
        <is>
          <t>Burundi</t>
        </is>
      </c>
      <c r="C144" t="inlineStr">
        <is>
          <t>BUR01</t>
        </is>
      </c>
      <c r="D144" t="n">
        <v>0.5</v>
      </c>
      <c r="E144" t="inlineStr">
        <is>
          <t>M&amp;E and Learning</t>
        </is>
      </c>
      <c r="F144">
        <f>SUMIF($A$2:$A$1594,A144,$D$2:$D$1594)</f>
        <v/>
      </c>
    </row>
    <row r="145">
      <c r="A145" t="inlineStr">
        <is>
          <t>Sakaguchi, Kevin</t>
        </is>
      </c>
      <c r="B145" t="inlineStr">
        <is>
          <t>Burundi</t>
        </is>
      </c>
      <c r="C145" t="inlineStr">
        <is>
          <t>BUR02</t>
        </is>
      </c>
      <c r="D145" t="n">
        <v>0.5</v>
      </c>
      <c r="E145" t="inlineStr">
        <is>
          <t>M&amp;E and Learning</t>
        </is>
      </c>
      <c r="F145">
        <f>SUMIF($A$2:$A$1594,A145,$D$2:$D$1594)</f>
        <v/>
      </c>
    </row>
    <row r="146">
      <c r="A146" t="inlineStr">
        <is>
          <t>Sakaguchi, Kevin</t>
        </is>
      </c>
      <c r="B146" t="inlineStr">
        <is>
          <t>Burundi</t>
        </is>
      </c>
      <c r="C146" t="inlineStr">
        <is>
          <t>BUR03</t>
        </is>
      </c>
      <c r="D146" t="n">
        <v>0.5</v>
      </c>
      <c r="E146" t="inlineStr">
        <is>
          <t>M&amp;E and Learning</t>
        </is>
      </c>
      <c r="F146">
        <f>SUMIF($A$2:$A$1594,A146,$D$2:$D$1594)</f>
        <v/>
      </c>
    </row>
    <row r="147">
      <c r="A147" t="inlineStr">
        <is>
          <t>Sakaguchi, Kevin</t>
        </is>
      </c>
      <c r="B147" t="inlineStr">
        <is>
          <t>Burundi</t>
        </is>
      </c>
      <c r="C147" t="inlineStr">
        <is>
          <t>BUR04</t>
        </is>
      </c>
      <c r="D147" t="n">
        <v>0.5</v>
      </c>
      <c r="E147" t="inlineStr">
        <is>
          <t>M&amp;E and Learning</t>
        </is>
      </c>
      <c r="F147">
        <f>SUMIF($A$2:$A$1594,A147,$D$2:$D$1594)</f>
        <v/>
      </c>
    </row>
    <row r="148">
      <c r="A148" t="inlineStr">
        <is>
          <t>Sakaguchi, Kevin</t>
        </is>
      </c>
      <c r="B148" t="inlineStr">
        <is>
          <t>Burundi</t>
        </is>
      </c>
      <c r="C148" t="inlineStr">
        <is>
          <t>BUR05</t>
        </is>
      </c>
      <c r="D148" t="n">
        <v>0.5</v>
      </c>
      <c r="E148" t="inlineStr">
        <is>
          <t>M&amp;E and Learning</t>
        </is>
      </c>
      <c r="F148">
        <f>SUMIF($A$2:$A$1594,A148,$D$2:$D$1594)</f>
        <v/>
      </c>
    </row>
    <row r="149">
      <c r="A149" t="inlineStr">
        <is>
          <t>Sakaguchi, Kevin</t>
        </is>
      </c>
      <c r="B149" t="inlineStr">
        <is>
          <t>Burundi</t>
        </is>
      </c>
      <c r="C149" t="inlineStr">
        <is>
          <t>BUR06</t>
        </is>
      </c>
      <c r="D149" t="n">
        <v>0.5</v>
      </c>
      <c r="E149" t="inlineStr">
        <is>
          <t>M&amp;E and Learning</t>
        </is>
      </c>
      <c r="F149">
        <f>SUMIF($A$2:$A$1594,A149,$D$2:$D$1594)</f>
        <v/>
      </c>
    </row>
    <row r="150">
      <c r="A150" t="inlineStr">
        <is>
          <t>Sakaguchi, Kevin</t>
        </is>
      </c>
      <c r="B150" t="inlineStr">
        <is>
          <t>Burundi</t>
        </is>
      </c>
      <c r="C150" t="inlineStr">
        <is>
          <t>BUR07</t>
        </is>
      </c>
      <c r="D150" t="n">
        <v>1</v>
      </c>
      <c r="E150" t="inlineStr">
        <is>
          <t>M&amp;E and Learning</t>
        </is>
      </c>
      <c r="F150">
        <f>SUMIF($A$2:$A$1594,A150,$D$2:$D$1594)</f>
        <v/>
      </c>
    </row>
    <row r="151">
      <c r="A151" t="inlineStr">
        <is>
          <t>Sakaguchi, Kevin</t>
        </is>
      </c>
      <c r="B151" t="inlineStr">
        <is>
          <t>Burundi</t>
        </is>
      </c>
      <c r="C151" t="inlineStr">
        <is>
          <t>BUR08</t>
        </is>
      </c>
      <c r="D151" t="n">
        <v>1</v>
      </c>
      <c r="E151" t="inlineStr">
        <is>
          <t>M&amp;E and Learning</t>
        </is>
      </c>
      <c r="F151">
        <f>SUMIF($A$2:$A$1594,A151,$D$2:$D$1594)</f>
        <v/>
      </c>
    </row>
    <row r="152">
      <c r="A152" t="inlineStr">
        <is>
          <t>Claussen, Laurence</t>
        </is>
      </c>
      <c r="B152" t="inlineStr">
        <is>
          <t>Burundi</t>
        </is>
      </c>
      <c r="C152" t="inlineStr">
        <is>
          <t>BUR01</t>
        </is>
      </c>
      <c r="D152" t="n">
        <v>0.5</v>
      </c>
      <c r="E152" t="inlineStr">
        <is>
          <t>Comms Manager</t>
        </is>
      </c>
      <c r="F152">
        <f>SUMIF($A$2:$A$1594,A152,$D$2:$D$1594)</f>
        <v/>
      </c>
    </row>
    <row r="153">
      <c r="A153" t="inlineStr">
        <is>
          <t>Claussen, Laurence</t>
        </is>
      </c>
      <c r="B153" t="inlineStr">
        <is>
          <t>Burundi</t>
        </is>
      </c>
      <c r="C153" t="inlineStr">
        <is>
          <t>BUR02</t>
        </is>
      </c>
      <c r="D153" t="n">
        <v>0.5</v>
      </c>
      <c r="E153" t="inlineStr">
        <is>
          <t>Comms Manager</t>
        </is>
      </c>
      <c r="F153">
        <f>SUMIF($A$2:$A$1594,A153,$D$2:$D$1594)</f>
        <v/>
      </c>
    </row>
    <row r="154">
      <c r="A154" t="inlineStr">
        <is>
          <t>Claussen, Laurence</t>
        </is>
      </c>
      <c r="B154" t="inlineStr">
        <is>
          <t>Burundi</t>
        </is>
      </c>
      <c r="C154" t="inlineStr">
        <is>
          <t>BUR03</t>
        </is>
      </c>
      <c r="D154" t="n">
        <v>0.5</v>
      </c>
      <c r="E154" t="inlineStr">
        <is>
          <t>Comms Manager</t>
        </is>
      </c>
      <c r="F154">
        <f>SUMIF($A$2:$A$1594,A154,$D$2:$D$1594)</f>
        <v/>
      </c>
    </row>
    <row r="155">
      <c r="A155" t="inlineStr">
        <is>
          <t>Claussen, Laurence</t>
        </is>
      </c>
      <c r="B155" t="inlineStr">
        <is>
          <t>Burundi</t>
        </is>
      </c>
      <c r="C155" t="inlineStr">
        <is>
          <t>BUR04</t>
        </is>
      </c>
      <c r="D155" t="n">
        <v>0.5</v>
      </c>
      <c r="E155" t="inlineStr">
        <is>
          <t>Comms Manager</t>
        </is>
      </c>
      <c r="F155">
        <f>SUMIF($A$2:$A$1594,A155,$D$2:$D$1594)</f>
        <v/>
      </c>
    </row>
    <row r="156">
      <c r="A156" t="inlineStr">
        <is>
          <t>Claussen, Laurence</t>
        </is>
      </c>
      <c r="B156" t="inlineStr">
        <is>
          <t>Burundi</t>
        </is>
      </c>
      <c r="C156" t="inlineStr">
        <is>
          <t>BUR05</t>
        </is>
      </c>
      <c r="D156" t="n">
        <v>0.5</v>
      </c>
      <c r="E156" t="inlineStr">
        <is>
          <t>Comms Manager</t>
        </is>
      </c>
      <c r="F156">
        <f>SUMIF($A$2:$A$1594,A156,$D$2:$D$1594)</f>
        <v/>
      </c>
    </row>
    <row r="157">
      <c r="A157" t="inlineStr">
        <is>
          <t>Claussen, Laurence</t>
        </is>
      </c>
      <c r="B157" t="inlineStr">
        <is>
          <t>Burundi</t>
        </is>
      </c>
      <c r="C157" t="inlineStr">
        <is>
          <t>BUR06</t>
        </is>
      </c>
      <c r="D157" t="n">
        <v>0.5</v>
      </c>
      <c r="E157" t="inlineStr">
        <is>
          <t>Comms Manager</t>
        </is>
      </c>
      <c r="F157">
        <f>SUMIF($A$2:$A$1594,A157,$D$2:$D$1594)</f>
        <v/>
      </c>
    </row>
    <row r="158">
      <c r="A158" t="inlineStr">
        <is>
          <t>Claussen, Laurence</t>
        </is>
      </c>
      <c r="B158" t="inlineStr">
        <is>
          <t>Burundi</t>
        </is>
      </c>
      <c r="C158" t="inlineStr">
        <is>
          <t>BUR07</t>
        </is>
      </c>
      <c r="D158" t="n">
        <v>1</v>
      </c>
      <c r="E158" t="inlineStr">
        <is>
          <t>Comms Manager</t>
        </is>
      </c>
      <c r="F158">
        <f>SUMIF($A$2:$A$1594,A158,$D$2:$D$1594)</f>
        <v/>
      </c>
    </row>
    <row r="159">
      <c r="A159" t="inlineStr">
        <is>
          <t>Claussen, Laurence</t>
        </is>
      </c>
      <c r="B159" t="inlineStr">
        <is>
          <t>Burundi</t>
        </is>
      </c>
      <c r="C159" t="inlineStr">
        <is>
          <t>BUR08</t>
        </is>
      </c>
      <c r="D159" t="n">
        <v>1</v>
      </c>
      <c r="E159" t="inlineStr">
        <is>
          <t>Comms Manager</t>
        </is>
      </c>
      <c r="F159">
        <f>SUMIF($A$2:$A$1594,A159,$D$2:$D$1594)</f>
        <v/>
      </c>
    </row>
    <row r="160">
      <c r="A160" t="inlineStr">
        <is>
          <t>Loehr, Caitlin</t>
        </is>
      </c>
      <c r="B160" t="inlineStr">
        <is>
          <t>Burundi</t>
        </is>
      </c>
      <c r="C160" t="inlineStr">
        <is>
          <t>BUR01</t>
        </is>
      </c>
      <c r="D160" t="n">
        <v>7</v>
      </c>
      <c r="E160" t="inlineStr">
        <is>
          <t>Senior Tech Advisor - Digital</t>
        </is>
      </c>
      <c r="F160">
        <f>SUMIF($A$2:$A$1594,A160,$D$2:$D$1594)</f>
        <v/>
      </c>
    </row>
    <row r="161">
      <c r="A161" t="inlineStr">
        <is>
          <t>Loehr, Caitlin</t>
        </is>
      </c>
      <c r="B161" t="inlineStr">
        <is>
          <t>Burundi</t>
        </is>
      </c>
      <c r="C161" t="inlineStr">
        <is>
          <t>BUR02</t>
        </is>
      </c>
      <c r="D161" t="n">
        <v>7</v>
      </c>
      <c r="E161" t="inlineStr">
        <is>
          <t>Senior Tech Advisor - Digital</t>
        </is>
      </c>
      <c r="F161">
        <f>SUMIF($A$2:$A$1594,A161,$D$2:$D$1594)</f>
        <v/>
      </c>
    </row>
    <row r="162">
      <c r="A162" t="inlineStr">
        <is>
          <t>Loehr, Caitlin</t>
        </is>
      </c>
      <c r="B162" t="inlineStr">
        <is>
          <t>Burundi</t>
        </is>
      </c>
      <c r="C162" t="inlineStr">
        <is>
          <t>BUR03</t>
        </is>
      </c>
      <c r="D162" t="n">
        <v>7</v>
      </c>
      <c r="E162" t="inlineStr">
        <is>
          <t>Senior Tech Advisor - Digital</t>
        </is>
      </c>
      <c r="F162">
        <f>SUMIF($A$2:$A$1594,A162,$D$2:$D$1594)</f>
        <v/>
      </c>
    </row>
    <row r="163">
      <c r="A163" t="inlineStr">
        <is>
          <t>Loehr, Caitlin</t>
        </is>
      </c>
      <c r="B163" t="inlineStr">
        <is>
          <t>Burundi</t>
        </is>
      </c>
      <c r="C163" t="inlineStr">
        <is>
          <t>BUR04</t>
        </is>
      </c>
      <c r="D163" t="n">
        <v>7</v>
      </c>
      <c r="E163" t="inlineStr">
        <is>
          <t>Senior Tech Advisor - Digital</t>
        </is>
      </c>
      <c r="F163">
        <f>SUMIF($A$2:$A$1594,A163,$D$2:$D$1594)</f>
        <v/>
      </c>
    </row>
    <row r="164">
      <c r="A164" t="inlineStr">
        <is>
          <t>Loehr, Caitlin</t>
        </is>
      </c>
      <c r="B164" t="inlineStr">
        <is>
          <t>Burundi</t>
        </is>
      </c>
      <c r="C164" t="inlineStr">
        <is>
          <t>BUR05</t>
        </is>
      </c>
      <c r="D164" t="n">
        <v>8</v>
      </c>
      <c r="E164" t="inlineStr">
        <is>
          <t>Senior Tech Advisor - Digital</t>
        </is>
      </c>
      <c r="F164">
        <f>SUMIF($A$2:$A$1594,A164,$D$2:$D$1594)</f>
        <v/>
      </c>
    </row>
    <row r="165">
      <c r="A165" t="inlineStr">
        <is>
          <t>Loehr, Caitlin</t>
        </is>
      </c>
      <c r="B165" t="inlineStr">
        <is>
          <t>Burundi</t>
        </is>
      </c>
      <c r="C165" t="inlineStr">
        <is>
          <t>BUR06</t>
        </is>
      </c>
      <c r="D165" t="n">
        <v>8</v>
      </c>
      <c r="E165" t="inlineStr">
        <is>
          <t>Senior Tech Advisor - Digital</t>
        </is>
      </c>
      <c r="F165">
        <f>SUMIF($A$2:$A$1594,A165,$D$2:$D$1594)</f>
        <v/>
      </c>
    </row>
    <row r="166">
      <c r="A166" t="inlineStr">
        <is>
          <t>Loehr, Caitlin</t>
        </is>
      </c>
      <c r="B166" t="inlineStr">
        <is>
          <t>Burundi</t>
        </is>
      </c>
      <c r="C166" t="inlineStr">
        <is>
          <t>BUR07</t>
        </is>
      </c>
      <c r="D166" t="n">
        <v>8</v>
      </c>
      <c r="E166" t="inlineStr">
        <is>
          <t>Senior Tech Advisor - Digital</t>
        </is>
      </c>
      <c r="F166">
        <f>SUMIF($A$2:$A$1594,A166,$D$2:$D$1594)</f>
        <v/>
      </c>
    </row>
    <row r="167">
      <c r="A167" t="inlineStr">
        <is>
          <t>Loehr, Caitlin</t>
        </is>
      </c>
      <c r="B167" t="inlineStr">
        <is>
          <t>Burundi</t>
        </is>
      </c>
      <c r="C167" t="inlineStr">
        <is>
          <t>BUR08</t>
        </is>
      </c>
      <c r="D167" t="n">
        <v>8</v>
      </c>
      <c r="E167" t="inlineStr">
        <is>
          <t>Senior Tech Advisor - Digital</t>
        </is>
      </c>
      <c r="F167">
        <f>SUMIF($A$2:$A$1594,A167,$D$2:$D$1594)</f>
        <v/>
      </c>
    </row>
    <row r="168">
      <c r="A168" t="inlineStr">
        <is>
          <t>Mahoro, Virgile</t>
        </is>
      </c>
      <c r="B168" t="inlineStr">
        <is>
          <t>Burundi</t>
        </is>
      </c>
      <c r="C168" t="inlineStr">
        <is>
          <t>BUR01</t>
        </is>
      </c>
      <c r="D168" t="n">
        <v>8</v>
      </c>
      <c r="E168" t="inlineStr">
        <is>
          <t>Associate Pool</t>
        </is>
      </c>
      <c r="F168">
        <f>SUMIF($A$2:$A$1594,A168,$D$2:$D$1594)</f>
        <v/>
      </c>
    </row>
    <row r="169">
      <c r="A169" t="inlineStr">
        <is>
          <t>Mahoro, Virgile</t>
        </is>
      </c>
      <c r="B169" t="inlineStr">
        <is>
          <t>Burundi</t>
        </is>
      </c>
      <c r="C169" t="inlineStr">
        <is>
          <t>BUR02</t>
        </is>
      </c>
      <c r="D169" t="n">
        <v>8</v>
      </c>
      <c r="E169" t="inlineStr">
        <is>
          <t>Associate Pool</t>
        </is>
      </c>
      <c r="F169">
        <f>SUMIF($A$2:$A$1594,A169,$D$2:$D$1594)</f>
        <v/>
      </c>
    </row>
    <row r="170">
      <c r="A170" t="inlineStr">
        <is>
          <t>Mahoro, Virgile</t>
        </is>
      </c>
      <c r="B170" t="inlineStr">
        <is>
          <t>Burundi</t>
        </is>
      </c>
      <c r="C170" t="inlineStr">
        <is>
          <t>BUR03</t>
        </is>
      </c>
      <c r="D170" t="n">
        <v>8</v>
      </c>
      <c r="E170" t="inlineStr">
        <is>
          <t>Associate Pool</t>
        </is>
      </c>
      <c r="F170">
        <f>SUMIF($A$2:$A$1594,A170,$D$2:$D$1594)</f>
        <v/>
      </c>
    </row>
    <row r="171">
      <c r="A171" t="inlineStr">
        <is>
          <t>Mahoro, Virgile</t>
        </is>
      </c>
      <c r="B171" t="inlineStr">
        <is>
          <t>Burundi</t>
        </is>
      </c>
      <c r="C171" t="inlineStr">
        <is>
          <t>BUR04</t>
        </is>
      </c>
      <c r="D171" t="n">
        <v>8</v>
      </c>
      <c r="E171" t="inlineStr">
        <is>
          <t>Associate Pool</t>
        </is>
      </c>
      <c r="F171">
        <f>SUMIF($A$2:$A$1594,A171,$D$2:$D$1594)</f>
        <v/>
      </c>
    </row>
    <row r="172">
      <c r="A172" t="inlineStr">
        <is>
          <t>Mahoro, Virgile</t>
        </is>
      </c>
      <c r="B172" t="inlineStr">
        <is>
          <t>Burundi</t>
        </is>
      </c>
      <c r="C172" t="inlineStr">
        <is>
          <t>BUR05</t>
        </is>
      </c>
      <c r="D172" t="n">
        <v>8</v>
      </c>
      <c r="E172" t="inlineStr">
        <is>
          <t>Associate Pool</t>
        </is>
      </c>
      <c r="F172">
        <f>SUMIF($A$2:$A$1594,A172,$D$2:$D$1594)</f>
        <v/>
      </c>
    </row>
    <row r="173">
      <c r="A173" t="inlineStr">
        <is>
          <t>Mahoro, Virgile</t>
        </is>
      </c>
      <c r="B173" t="inlineStr">
        <is>
          <t>Burundi</t>
        </is>
      </c>
      <c r="C173" t="inlineStr">
        <is>
          <t>BUR06</t>
        </is>
      </c>
      <c r="D173" t="n">
        <v>8</v>
      </c>
      <c r="E173" t="inlineStr">
        <is>
          <t>Associate Pool</t>
        </is>
      </c>
      <c r="F173">
        <f>SUMIF($A$2:$A$1594,A173,$D$2:$D$1594)</f>
        <v/>
      </c>
    </row>
    <row r="174">
      <c r="A174" t="inlineStr">
        <is>
          <t>Mahoro, Virgile</t>
        </is>
      </c>
      <c r="B174" t="inlineStr">
        <is>
          <t>Burundi</t>
        </is>
      </c>
      <c r="C174" t="inlineStr">
        <is>
          <t>BUR07</t>
        </is>
      </c>
      <c r="D174" t="n">
        <v>8</v>
      </c>
      <c r="E174" t="inlineStr">
        <is>
          <t>Associate Pool</t>
        </is>
      </c>
      <c r="F174">
        <f>SUMIF($A$2:$A$1594,A174,$D$2:$D$1594)</f>
        <v/>
      </c>
    </row>
    <row r="175">
      <c r="A175" t="inlineStr">
        <is>
          <t>Mahoro, Virgile</t>
        </is>
      </c>
      <c r="B175" t="inlineStr">
        <is>
          <t>Burundi</t>
        </is>
      </c>
      <c r="C175" t="inlineStr">
        <is>
          <t>BUR08</t>
        </is>
      </c>
      <c r="D175" t="n">
        <v>9</v>
      </c>
      <c r="E175" t="inlineStr">
        <is>
          <t>Associate Pool</t>
        </is>
      </c>
      <c r="F175">
        <f>SUMIF($A$2:$A$1594,A175,$D$2:$D$1594)</f>
        <v/>
      </c>
    </row>
    <row r="176">
      <c r="A176" t="inlineStr">
        <is>
          <t>Mathias, John</t>
        </is>
      </c>
      <c r="B176" t="inlineStr">
        <is>
          <t>Burundi</t>
        </is>
      </c>
      <c r="C176" t="inlineStr">
        <is>
          <t>BUR01</t>
        </is>
      </c>
      <c r="D176" t="n">
        <v>0.5</v>
      </c>
      <c r="E176" t="inlineStr">
        <is>
          <t>Operations Director</t>
        </is>
      </c>
      <c r="F176">
        <f>SUMIF($A$2:$A$1594,A176,$D$2:$D$1594)</f>
        <v/>
      </c>
    </row>
    <row r="177">
      <c r="A177" t="inlineStr">
        <is>
          <t>Mathias, John</t>
        </is>
      </c>
      <c r="B177" t="inlineStr">
        <is>
          <t>Burundi</t>
        </is>
      </c>
      <c r="C177" t="inlineStr">
        <is>
          <t>BUR02</t>
        </is>
      </c>
      <c r="D177" t="n">
        <v>0.5</v>
      </c>
      <c r="E177" t="inlineStr">
        <is>
          <t>Operations Director</t>
        </is>
      </c>
      <c r="F177">
        <f>SUMIF($A$2:$A$1594,A177,$D$2:$D$1594)</f>
        <v/>
      </c>
    </row>
    <row r="178">
      <c r="A178" t="inlineStr">
        <is>
          <t>Mathias, John</t>
        </is>
      </c>
      <c r="B178" t="inlineStr">
        <is>
          <t>Burundi</t>
        </is>
      </c>
      <c r="C178" t="inlineStr">
        <is>
          <t>BUR03</t>
        </is>
      </c>
      <c r="D178" t="n">
        <v>0.5</v>
      </c>
      <c r="E178" t="inlineStr">
        <is>
          <t>Operations Director</t>
        </is>
      </c>
      <c r="F178">
        <f>SUMIF($A$2:$A$1594,A178,$D$2:$D$1594)</f>
        <v/>
      </c>
    </row>
    <row r="179">
      <c r="A179" t="inlineStr">
        <is>
          <t>Mathias, John</t>
        </is>
      </c>
      <c r="B179" t="inlineStr">
        <is>
          <t>Burundi</t>
        </is>
      </c>
      <c r="C179" t="inlineStr">
        <is>
          <t>BUR04</t>
        </is>
      </c>
      <c r="D179" t="n">
        <v>0.5</v>
      </c>
      <c r="E179" t="inlineStr">
        <is>
          <t>Operations Director</t>
        </is>
      </c>
      <c r="F179">
        <f>SUMIF($A$2:$A$1594,A179,$D$2:$D$1594)</f>
        <v/>
      </c>
    </row>
    <row r="180">
      <c r="A180" t="inlineStr">
        <is>
          <t>Mathias, John</t>
        </is>
      </c>
      <c r="B180" t="inlineStr">
        <is>
          <t>Burundi</t>
        </is>
      </c>
      <c r="C180" t="inlineStr">
        <is>
          <t>BUR05</t>
        </is>
      </c>
      <c r="D180" t="n">
        <v>0.5</v>
      </c>
      <c r="E180" t="inlineStr">
        <is>
          <t>Operations Director</t>
        </is>
      </c>
      <c r="F180">
        <f>SUMIF($A$2:$A$1594,A180,$D$2:$D$1594)</f>
        <v/>
      </c>
    </row>
    <row r="181">
      <c r="A181" t="inlineStr">
        <is>
          <t>Mathias, John</t>
        </is>
      </c>
      <c r="B181" t="inlineStr">
        <is>
          <t>Burundi</t>
        </is>
      </c>
      <c r="C181" t="inlineStr">
        <is>
          <t>BUR06</t>
        </is>
      </c>
      <c r="D181" t="n">
        <v>0.5</v>
      </c>
      <c r="E181" t="inlineStr">
        <is>
          <t>Operations Director</t>
        </is>
      </c>
      <c r="F181">
        <f>SUMIF($A$2:$A$1594,A181,$D$2:$D$1594)</f>
        <v/>
      </c>
    </row>
    <row r="182">
      <c r="A182" t="inlineStr">
        <is>
          <t>Mathias, John</t>
        </is>
      </c>
      <c r="B182" t="inlineStr">
        <is>
          <t>Burundi</t>
        </is>
      </c>
      <c r="C182" t="inlineStr">
        <is>
          <t>BUR07</t>
        </is>
      </c>
      <c r="D182" t="n">
        <v>1</v>
      </c>
      <c r="E182" t="inlineStr">
        <is>
          <t>Operations Director</t>
        </is>
      </c>
      <c r="F182">
        <f>SUMIF($A$2:$A$1594,A182,$D$2:$D$1594)</f>
        <v/>
      </c>
    </row>
    <row r="183">
      <c r="A183" t="inlineStr">
        <is>
          <t>Mathias, John</t>
        </is>
      </c>
      <c r="B183" t="inlineStr">
        <is>
          <t>Burundi</t>
        </is>
      </c>
      <c r="C183" t="inlineStr">
        <is>
          <t>BUR08</t>
        </is>
      </c>
      <c r="D183" t="n">
        <v>1</v>
      </c>
      <c r="E183" t="inlineStr">
        <is>
          <t>Operations Director</t>
        </is>
      </c>
      <c r="F183">
        <f>SUMIF($A$2:$A$1594,A183,$D$2:$D$1594)</f>
        <v/>
      </c>
    </row>
    <row r="184">
      <c r="A184" t="inlineStr">
        <is>
          <t>Misomali, Mark</t>
        </is>
      </c>
      <c r="B184" t="inlineStr">
        <is>
          <t>Burundi</t>
        </is>
      </c>
      <c r="C184" t="inlineStr">
        <is>
          <t>BUR01</t>
        </is>
      </c>
      <c r="D184" t="n">
        <v>0.5</v>
      </c>
      <c r="E184" t="inlineStr">
        <is>
          <t xml:space="preserve">Operations Sr Finance Manager   </t>
        </is>
      </c>
      <c r="F184">
        <f>SUMIF($A$2:$A$1594,A184,$D$2:$D$1594)</f>
        <v/>
      </c>
    </row>
    <row r="185">
      <c r="A185" t="inlineStr">
        <is>
          <t>Misomali, Mark</t>
        </is>
      </c>
      <c r="B185" t="inlineStr">
        <is>
          <t>Burundi</t>
        </is>
      </c>
      <c r="C185" t="inlineStr">
        <is>
          <t>BUR02</t>
        </is>
      </c>
      <c r="D185" t="n">
        <v>0.5</v>
      </c>
      <c r="E185" t="inlineStr">
        <is>
          <t xml:space="preserve">Operations Sr Finance Manager   </t>
        </is>
      </c>
      <c r="F185">
        <f>SUMIF($A$2:$A$1594,A185,$D$2:$D$1594)</f>
        <v/>
      </c>
    </row>
    <row r="186">
      <c r="A186" t="inlineStr">
        <is>
          <t>Misomali, Mark</t>
        </is>
      </c>
      <c r="B186" t="inlineStr">
        <is>
          <t>Burundi</t>
        </is>
      </c>
      <c r="C186" t="inlineStr">
        <is>
          <t>BUR03</t>
        </is>
      </c>
      <c r="D186" t="n">
        <v>0.5</v>
      </c>
      <c r="E186" t="inlineStr">
        <is>
          <t xml:space="preserve">Operations Sr Finance Manager   </t>
        </is>
      </c>
      <c r="F186">
        <f>SUMIF($A$2:$A$1594,A186,$D$2:$D$1594)</f>
        <v/>
      </c>
    </row>
    <row r="187">
      <c r="A187" t="inlineStr">
        <is>
          <t>Misomali, Mark</t>
        </is>
      </c>
      <c r="B187" t="inlineStr">
        <is>
          <t>Burundi</t>
        </is>
      </c>
      <c r="C187" t="inlineStr">
        <is>
          <t>BUR04</t>
        </is>
      </c>
      <c r="D187" t="n">
        <v>0.5</v>
      </c>
      <c r="E187" t="inlineStr">
        <is>
          <t xml:space="preserve">Operations Sr Finance Manager   </t>
        </is>
      </c>
      <c r="F187">
        <f>SUMIF($A$2:$A$1594,A187,$D$2:$D$1594)</f>
        <v/>
      </c>
    </row>
    <row r="188">
      <c r="A188" t="inlineStr">
        <is>
          <t>Misomali, Mark</t>
        </is>
      </c>
      <c r="B188" t="inlineStr">
        <is>
          <t>Burundi</t>
        </is>
      </c>
      <c r="C188" t="inlineStr">
        <is>
          <t>BUR05</t>
        </is>
      </c>
      <c r="D188" t="n">
        <v>0.5</v>
      </c>
      <c r="E188" t="inlineStr">
        <is>
          <t xml:space="preserve">Operations Sr Finance Manager   </t>
        </is>
      </c>
      <c r="F188">
        <f>SUMIF($A$2:$A$1594,A188,$D$2:$D$1594)</f>
        <v/>
      </c>
    </row>
    <row r="189">
      <c r="A189" t="inlineStr">
        <is>
          <t>Misomali, Mark</t>
        </is>
      </c>
      <c r="B189" t="inlineStr">
        <is>
          <t>Burundi</t>
        </is>
      </c>
      <c r="C189" t="inlineStr">
        <is>
          <t>BUR06</t>
        </is>
      </c>
      <c r="D189" t="n">
        <v>0.5</v>
      </c>
      <c r="E189" t="inlineStr">
        <is>
          <t xml:space="preserve">Operations Sr Finance Manager   </t>
        </is>
      </c>
      <c r="F189">
        <f>SUMIF($A$2:$A$1594,A189,$D$2:$D$1594)</f>
        <v/>
      </c>
    </row>
    <row r="190">
      <c r="A190" t="inlineStr">
        <is>
          <t>Misomali, Mark</t>
        </is>
      </c>
      <c r="B190" t="inlineStr">
        <is>
          <t>Burundi</t>
        </is>
      </c>
      <c r="C190" t="inlineStr">
        <is>
          <t>BUR07</t>
        </is>
      </c>
      <c r="D190" t="n">
        <v>1</v>
      </c>
      <c r="E190" t="inlineStr">
        <is>
          <t xml:space="preserve">Operations Sr Finance Manager   </t>
        </is>
      </c>
      <c r="F190">
        <f>SUMIF($A$2:$A$1594,A190,$D$2:$D$1594)</f>
        <v/>
      </c>
    </row>
    <row r="191">
      <c r="A191" t="inlineStr">
        <is>
          <t>Misomali, Mark</t>
        </is>
      </c>
      <c r="B191" t="inlineStr">
        <is>
          <t>Burundi</t>
        </is>
      </c>
      <c r="C191" t="inlineStr">
        <is>
          <t>BUR08</t>
        </is>
      </c>
      <c r="D191" t="n">
        <v>1</v>
      </c>
      <c r="E191" t="inlineStr">
        <is>
          <t xml:space="preserve">Operations Sr Finance Manager   </t>
        </is>
      </c>
      <c r="F191">
        <f>SUMIF($A$2:$A$1594,A191,$D$2:$D$1594)</f>
        <v/>
      </c>
    </row>
    <row r="192">
      <c r="A192" t="inlineStr">
        <is>
          <t>Noorzai, Mahmood</t>
        </is>
      </c>
      <c r="B192" t="inlineStr">
        <is>
          <t>Burundi</t>
        </is>
      </c>
      <c r="C192" t="inlineStr">
        <is>
          <t>BUR01</t>
        </is>
      </c>
      <c r="D192" t="n">
        <v>0.5</v>
      </c>
      <c r="E192" t="inlineStr">
        <is>
          <t>Operations Finance Associate</t>
        </is>
      </c>
      <c r="F192">
        <f>SUMIF($A$2:$A$1594,A192,$D$2:$D$1594)</f>
        <v/>
      </c>
    </row>
    <row r="193">
      <c r="A193" t="inlineStr">
        <is>
          <t>Noorzai, Mahmood</t>
        </is>
      </c>
      <c r="B193" t="inlineStr">
        <is>
          <t>Burundi</t>
        </is>
      </c>
      <c r="C193" t="inlineStr">
        <is>
          <t>BUR02</t>
        </is>
      </c>
      <c r="D193" t="n">
        <v>0.5</v>
      </c>
      <c r="E193" t="inlineStr">
        <is>
          <t>Operations Finance Associate</t>
        </is>
      </c>
      <c r="F193">
        <f>SUMIF($A$2:$A$1594,A193,$D$2:$D$1594)</f>
        <v/>
      </c>
    </row>
    <row r="194">
      <c r="A194" t="inlineStr">
        <is>
          <t>Noorzai, Mahmood</t>
        </is>
      </c>
      <c r="B194" t="inlineStr">
        <is>
          <t>Burundi</t>
        </is>
      </c>
      <c r="C194" t="inlineStr">
        <is>
          <t>BUR03</t>
        </is>
      </c>
      <c r="D194" t="n">
        <v>0.5</v>
      </c>
      <c r="E194" t="inlineStr">
        <is>
          <t>Operations Finance Associate</t>
        </is>
      </c>
      <c r="F194">
        <f>SUMIF($A$2:$A$1594,A194,$D$2:$D$1594)</f>
        <v/>
      </c>
    </row>
    <row r="195">
      <c r="A195" t="inlineStr">
        <is>
          <t>Noorzai, Mahmood</t>
        </is>
      </c>
      <c r="B195" t="inlineStr">
        <is>
          <t>Burundi</t>
        </is>
      </c>
      <c r="C195" t="inlineStr">
        <is>
          <t>BUR04</t>
        </is>
      </c>
      <c r="D195" t="n">
        <v>0.5</v>
      </c>
      <c r="E195" t="inlineStr">
        <is>
          <t>Operations Finance Associate</t>
        </is>
      </c>
      <c r="F195">
        <f>SUMIF($A$2:$A$1594,A195,$D$2:$D$1594)</f>
        <v/>
      </c>
    </row>
    <row r="196">
      <c r="A196" t="inlineStr">
        <is>
          <t>Noorzai, Mahmood</t>
        </is>
      </c>
      <c r="B196" t="inlineStr">
        <is>
          <t>Burundi</t>
        </is>
      </c>
      <c r="C196" t="inlineStr">
        <is>
          <t>BUR05</t>
        </is>
      </c>
      <c r="D196" t="n">
        <v>0.5</v>
      </c>
      <c r="E196" t="inlineStr">
        <is>
          <t>Operations Finance Associate</t>
        </is>
      </c>
      <c r="F196">
        <f>SUMIF($A$2:$A$1594,A196,$D$2:$D$1594)</f>
        <v/>
      </c>
    </row>
    <row r="197">
      <c r="A197" t="inlineStr">
        <is>
          <t>Noorzai, Mahmood</t>
        </is>
      </c>
      <c r="B197" t="inlineStr">
        <is>
          <t>Burundi</t>
        </is>
      </c>
      <c r="C197" t="inlineStr">
        <is>
          <t>BUR06</t>
        </is>
      </c>
      <c r="D197" t="n">
        <v>0.5</v>
      </c>
      <c r="E197" t="inlineStr">
        <is>
          <t>Operations Finance Associate</t>
        </is>
      </c>
      <c r="F197">
        <f>SUMIF($A$2:$A$1594,A197,$D$2:$D$1594)</f>
        <v/>
      </c>
    </row>
    <row r="198">
      <c r="A198" t="inlineStr">
        <is>
          <t>Noorzai, Mahmood</t>
        </is>
      </c>
      <c r="B198" t="inlineStr">
        <is>
          <t>Burundi</t>
        </is>
      </c>
      <c r="C198" t="inlineStr">
        <is>
          <t>BUR07</t>
        </is>
      </c>
      <c r="D198" t="n">
        <v>1</v>
      </c>
      <c r="E198" t="inlineStr">
        <is>
          <t>Operations Finance Associate</t>
        </is>
      </c>
      <c r="F198">
        <f>SUMIF($A$2:$A$1594,A198,$D$2:$D$1594)</f>
        <v/>
      </c>
    </row>
    <row r="199">
      <c r="A199" t="inlineStr">
        <is>
          <t>Noorzai, Mahmood</t>
        </is>
      </c>
      <c r="B199" t="inlineStr">
        <is>
          <t>Burundi</t>
        </is>
      </c>
      <c r="C199" t="inlineStr">
        <is>
          <t>BUR08</t>
        </is>
      </c>
      <c r="D199" t="n">
        <v>1</v>
      </c>
      <c r="E199" t="inlineStr">
        <is>
          <t>Operations Finance Associate</t>
        </is>
      </c>
      <c r="F199">
        <f>SUMIF($A$2:$A$1594,A199,$D$2:$D$1594)</f>
        <v/>
      </c>
    </row>
    <row r="200">
      <c r="A200" t="inlineStr">
        <is>
          <t>Mawandia, Shreshth</t>
        </is>
      </c>
      <c r="B200" t="inlineStr">
        <is>
          <t>CORE-EMR ECHIS</t>
        </is>
      </c>
      <c r="C200" t="inlineStr">
        <is>
          <t>T1.8</t>
        </is>
      </c>
      <c r="D200" t="n">
        <v>2</v>
      </c>
      <c r="E200" t="inlineStr">
        <is>
          <t>KP - Project Director</t>
        </is>
      </c>
      <c r="F200">
        <f>SUMIF($A$2:$A$1594,A200,$D$2:$D$1594)</f>
        <v/>
      </c>
    </row>
    <row r="201">
      <c r="A201" t="inlineStr">
        <is>
          <t>Mawandia, Shreshth</t>
        </is>
      </c>
      <c r="B201" t="inlineStr">
        <is>
          <t>CORE-EMR ECHIS</t>
        </is>
      </c>
      <c r="C201" t="inlineStr">
        <is>
          <t>C2</t>
        </is>
      </c>
      <c r="D201" t="n">
        <v>2</v>
      </c>
      <c r="E201" t="inlineStr">
        <is>
          <t>KP - Project Director</t>
        </is>
      </c>
      <c r="F201">
        <f>SUMIF($A$2:$A$1594,A201,$D$2:$D$1594)</f>
        <v/>
      </c>
    </row>
    <row r="202">
      <c r="A202" t="inlineStr">
        <is>
          <t>Nigussie, Netsanet</t>
        </is>
      </c>
      <c r="B202" t="inlineStr">
        <is>
          <t>CORE-EMR ECHIS</t>
        </is>
      </c>
      <c r="C202" t="inlineStr">
        <is>
          <t>T1.8</t>
        </is>
      </c>
      <c r="D202" t="n">
        <v>2</v>
      </c>
      <c r="E202" t="inlineStr">
        <is>
          <t>KP - Technical Director</t>
        </is>
      </c>
      <c r="F202">
        <f>SUMIF($A$2:$A$1594,A202,$D$2:$D$1594)</f>
        <v/>
      </c>
    </row>
    <row r="203">
      <c r="A203" t="inlineStr">
        <is>
          <t>Nigussie, Netsanet</t>
        </is>
      </c>
      <c r="B203" t="inlineStr">
        <is>
          <t>CORE-EMR ECHIS</t>
        </is>
      </c>
      <c r="C203" t="inlineStr">
        <is>
          <t>C2</t>
        </is>
      </c>
      <c r="D203" t="n">
        <v>2</v>
      </c>
      <c r="E203" t="inlineStr">
        <is>
          <t>KP - Technical Director</t>
        </is>
      </c>
      <c r="F203">
        <f>SUMIF($A$2:$A$1594,A203,$D$2:$D$1594)</f>
        <v/>
      </c>
    </row>
    <row r="204">
      <c r="A204" t="inlineStr">
        <is>
          <t>Mensah, Margaret</t>
        </is>
      </c>
      <c r="B204" t="inlineStr">
        <is>
          <t>CORE-EMR ECHIS</t>
        </is>
      </c>
      <c r="C204" t="inlineStr">
        <is>
          <t>T1.8</t>
        </is>
      </c>
      <c r="D204" t="n">
        <v>2</v>
      </c>
      <c r="E204" t="inlineStr">
        <is>
          <t>KP - Finance Director</t>
        </is>
      </c>
      <c r="F204">
        <f>SUMIF($A$2:$A$1594,A204,$D$2:$D$1594)</f>
        <v/>
      </c>
    </row>
    <row r="205">
      <c r="A205" t="inlineStr">
        <is>
          <t>Mensah, Margaret</t>
        </is>
      </c>
      <c r="B205" t="inlineStr">
        <is>
          <t>CORE-EMR ECHIS</t>
        </is>
      </c>
      <c r="C205" t="inlineStr">
        <is>
          <t>C2</t>
        </is>
      </c>
      <c r="D205" t="n">
        <v>2</v>
      </c>
      <c r="E205" t="inlineStr">
        <is>
          <t>KP - Finance Director</t>
        </is>
      </c>
      <c r="F205">
        <f>SUMIF($A$2:$A$1594,A205,$D$2:$D$1594)</f>
        <v/>
      </c>
    </row>
    <row r="206">
      <c r="A206" t="inlineStr">
        <is>
          <t>Sharma, Suneeta</t>
        </is>
      </c>
      <c r="B206" t="inlineStr">
        <is>
          <t>CORE-EMR ECHIS</t>
        </is>
      </c>
      <c r="C206" t="inlineStr">
        <is>
          <t>T1.8</t>
        </is>
      </c>
      <c r="D206" t="n">
        <v>3</v>
      </c>
      <c r="E206" t="inlineStr">
        <is>
          <t>Objective 4 Co-Lead - 50% across T1.5, SL</t>
        </is>
      </c>
      <c r="F206">
        <f>SUMIF($A$2:$A$1594,A206,$D$2:$D$1594)</f>
        <v/>
      </c>
    </row>
    <row r="207">
      <c r="A207" t="inlineStr">
        <is>
          <t>Sharma, Suneeta</t>
        </is>
      </c>
      <c r="B207" t="inlineStr">
        <is>
          <t>CORE-EMR ECHIS</t>
        </is>
      </c>
      <c r="C207" t="inlineStr">
        <is>
          <t>C2</t>
        </is>
      </c>
      <c r="D207" t="n">
        <v>9</v>
      </c>
      <c r="E207" t="inlineStr">
        <is>
          <t>Objective 4 Co-Lead - 50% across T1.5, SL</t>
        </is>
      </c>
      <c r="F207">
        <f>SUMIF($A$2:$A$1594,A207,$D$2:$D$1594)</f>
        <v/>
      </c>
    </row>
    <row r="208">
      <c r="A208" t="inlineStr">
        <is>
          <t>Friedman, Jonathan</t>
        </is>
      </c>
      <c r="B208" t="inlineStr">
        <is>
          <t>CORE-EMR ECHIS</t>
        </is>
      </c>
      <c r="C208" t="inlineStr">
        <is>
          <t>T1.8</t>
        </is>
      </c>
      <c r="D208" t="n">
        <v>3</v>
      </c>
      <c r="E208" t="inlineStr">
        <is>
          <t>AI/ML Lead</t>
        </is>
      </c>
      <c r="F208">
        <f>SUMIF($A$2:$A$1594,A208,$D$2:$D$1594)</f>
        <v/>
      </c>
    </row>
    <row r="209">
      <c r="A209" t="inlineStr">
        <is>
          <t>Friedman, Jonathan</t>
        </is>
      </c>
      <c r="B209" t="inlineStr">
        <is>
          <t>CORE-EMR ECHIS</t>
        </is>
      </c>
      <c r="C209" t="inlineStr">
        <is>
          <t>C2</t>
        </is>
      </c>
      <c r="D209" t="n">
        <v>10.6667</v>
      </c>
      <c r="E209" t="inlineStr">
        <is>
          <t>AI/ML Lead</t>
        </is>
      </c>
      <c r="F209">
        <f>SUMIF($A$2:$A$1594,A209,$D$2:$D$1594)</f>
        <v/>
      </c>
    </row>
    <row r="210">
      <c r="A210" t="inlineStr">
        <is>
          <t>Mavyuva, Boniface</t>
        </is>
      </c>
      <c r="B210" t="inlineStr">
        <is>
          <t>CORE-EMR ECHIS</t>
        </is>
      </c>
      <c r="C210" t="inlineStr">
        <is>
          <t>T1.8</t>
        </is>
      </c>
      <c r="D210" t="n">
        <v>5</v>
      </c>
      <c r="E210" t="inlineStr">
        <is>
          <t>Dig Infrastructure Lead</t>
        </is>
      </c>
      <c r="F210">
        <f>SUMIF($A$2:$A$1594,A210,$D$2:$D$1594)</f>
        <v/>
      </c>
    </row>
    <row r="211">
      <c r="A211" t="inlineStr">
        <is>
          <t>Mavyuva, Boniface</t>
        </is>
      </c>
      <c r="B211" t="inlineStr">
        <is>
          <t>CORE-EMR ECHIS</t>
        </is>
      </c>
      <c r="C211" t="inlineStr">
        <is>
          <t>C2</t>
        </is>
      </c>
      <c r="D211" t="n">
        <v>10</v>
      </c>
      <c r="E211" t="inlineStr">
        <is>
          <t>Dig Infrastructure Lead</t>
        </is>
      </c>
      <c r="F211">
        <f>SUMIF($A$2:$A$1594,A211,$D$2:$D$1594)</f>
        <v/>
      </c>
    </row>
    <row r="212">
      <c r="A212" t="inlineStr">
        <is>
          <t>Vargas Monzon, Julio</t>
        </is>
      </c>
      <c r="B212" t="inlineStr">
        <is>
          <t>CORE-EMR ECHIS</t>
        </is>
      </c>
      <c r="C212" t="inlineStr">
        <is>
          <t>T1.8</t>
        </is>
      </c>
      <c r="D212" t="n">
        <v>2</v>
      </c>
      <c r="E212" t="inlineStr">
        <is>
          <t>Infosec Co-Lead</t>
        </is>
      </c>
      <c r="F212">
        <f>SUMIF($A$2:$A$1594,A212,$D$2:$D$1594)</f>
        <v/>
      </c>
    </row>
    <row r="213">
      <c r="A213" t="inlineStr">
        <is>
          <t>Vargas Monzon, Julio</t>
        </is>
      </c>
      <c r="B213" t="inlineStr">
        <is>
          <t>CORE-EMR ECHIS</t>
        </is>
      </c>
      <c r="C213" t="inlineStr">
        <is>
          <t>C2</t>
        </is>
      </c>
      <c r="D213" t="n">
        <v>7.4327</v>
      </c>
      <c r="E213" t="inlineStr">
        <is>
          <t>Infosec Co-Lead</t>
        </is>
      </c>
      <c r="F213">
        <f>SUMIF($A$2:$A$1594,A213,$D$2:$D$1594)</f>
        <v/>
      </c>
    </row>
    <row r="214">
      <c r="A214" t="inlineStr">
        <is>
          <t>Showalter, Caitlin</t>
        </is>
      </c>
      <c r="B214" t="inlineStr">
        <is>
          <t>CORE-EMR ECHIS</t>
        </is>
      </c>
      <c r="C214" t="inlineStr">
        <is>
          <t>T1.8</t>
        </is>
      </c>
      <c r="D214" t="n">
        <v>2</v>
      </c>
      <c r="E214" t="inlineStr">
        <is>
          <t>M&amp;E and Learning</t>
        </is>
      </c>
      <c r="F214">
        <f>SUMIF($A$2:$A$1594,A214,$D$2:$D$1594)</f>
        <v/>
      </c>
    </row>
    <row r="215">
      <c r="A215" t="inlineStr">
        <is>
          <t>Showalter, Caitlin</t>
        </is>
      </c>
      <c r="B215" t="inlineStr">
        <is>
          <t>CORE-EMR ECHIS</t>
        </is>
      </c>
      <c r="C215" t="inlineStr">
        <is>
          <t>C2</t>
        </is>
      </c>
      <c r="D215" t="n">
        <v>7.2545</v>
      </c>
      <c r="E215" t="inlineStr">
        <is>
          <t>M&amp;E and Learning</t>
        </is>
      </c>
      <c r="F215">
        <f>SUMIF($A$2:$A$1594,A215,$D$2:$D$1594)</f>
        <v/>
      </c>
    </row>
    <row r="216">
      <c r="A216" t="inlineStr">
        <is>
          <t>Miranda Rondon de Ro, Ing</t>
        </is>
      </c>
      <c r="B216" t="inlineStr">
        <is>
          <t>CORE-EMR ECHIS</t>
        </is>
      </c>
      <c r="C216" t="inlineStr">
        <is>
          <t>T1.8</t>
        </is>
      </c>
      <c r="D216" t="n">
        <v>2</v>
      </c>
      <c r="E216" t="inlineStr">
        <is>
          <t>M&amp;E and Learning</t>
        </is>
      </c>
      <c r="F216">
        <f>SUMIF($A$2:$A$1594,A216,$D$2:$D$1594)</f>
        <v/>
      </c>
    </row>
    <row r="217">
      <c r="A217" t="inlineStr">
        <is>
          <t>Miranda Rondon de Ro, Ing</t>
        </is>
      </c>
      <c r="B217" t="inlineStr">
        <is>
          <t>CORE-EMR ECHIS</t>
        </is>
      </c>
      <c r="C217" t="inlineStr">
        <is>
          <t>C2</t>
        </is>
      </c>
      <c r="D217" t="n">
        <v>7.7867</v>
      </c>
      <c r="E217" t="inlineStr">
        <is>
          <t>M&amp;E and Learning</t>
        </is>
      </c>
      <c r="F217">
        <f>SUMIF($A$2:$A$1594,A217,$D$2:$D$1594)</f>
        <v/>
      </c>
    </row>
    <row r="218">
      <c r="A218" t="inlineStr">
        <is>
          <t>Sakaguchi, Kevin</t>
        </is>
      </c>
      <c r="B218" t="inlineStr">
        <is>
          <t>CORE-EMR ECHIS</t>
        </is>
      </c>
      <c r="C218" t="inlineStr">
        <is>
          <t>T1.8</t>
        </is>
      </c>
      <c r="D218" t="n">
        <v>2</v>
      </c>
      <c r="E218" t="inlineStr">
        <is>
          <t>M&amp;E and Learning</t>
        </is>
      </c>
      <c r="F218">
        <f>SUMIF($A$2:$A$1594,A218,$D$2:$D$1594)</f>
        <v/>
      </c>
    </row>
    <row r="219">
      <c r="A219" t="inlineStr">
        <is>
          <t>Sakaguchi, Kevin</t>
        </is>
      </c>
      <c r="B219" t="inlineStr">
        <is>
          <t>CORE-EMR ECHIS</t>
        </is>
      </c>
      <c r="C219" t="inlineStr">
        <is>
          <t>C2</t>
        </is>
      </c>
      <c r="D219" t="n">
        <v>7.7867</v>
      </c>
      <c r="E219" t="inlineStr">
        <is>
          <t>M&amp;E and Learning</t>
        </is>
      </c>
      <c r="F219">
        <f>SUMIF($A$2:$A$1594,A219,$D$2:$D$1594)</f>
        <v/>
      </c>
    </row>
    <row r="220">
      <c r="A220" t="inlineStr">
        <is>
          <t>Claussen, Laurence</t>
        </is>
      </c>
      <c r="B220" t="inlineStr">
        <is>
          <t>CORE-EMR ECHIS</t>
        </is>
      </c>
      <c r="C220" t="inlineStr">
        <is>
          <t>T1.8</t>
        </is>
      </c>
      <c r="D220" t="n">
        <v>2</v>
      </c>
      <c r="E220" t="inlineStr">
        <is>
          <t>Comms Manager</t>
        </is>
      </c>
      <c r="F220">
        <f>SUMIF($A$2:$A$1594,A220,$D$2:$D$1594)</f>
        <v/>
      </c>
    </row>
    <row r="221">
      <c r="A221" t="inlineStr">
        <is>
          <t>Claussen, Laurence</t>
        </is>
      </c>
      <c r="B221" t="inlineStr">
        <is>
          <t>CORE-EMR ECHIS</t>
        </is>
      </c>
      <c r="C221" t="inlineStr">
        <is>
          <t>C2</t>
        </is>
      </c>
      <c r="D221" t="n">
        <v>7.2954</v>
      </c>
      <c r="E221" t="inlineStr">
        <is>
          <t>Comms Manager</t>
        </is>
      </c>
      <c r="F221">
        <f>SUMIF($A$2:$A$1594,A221,$D$2:$D$1594)</f>
        <v/>
      </c>
    </row>
    <row r="222">
      <c r="A222" t="inlineStr">
        <is>
          <t>Loehr, Caitlin</t>
        </is>
      </c>
      <c r="B222" t="inlineStr">
        <is>
          <t>CORE-EMR ECHIS</t>
        </is>
      </c>
      <c r="C222" t="inlineStr">
        <is>
          <t>T1.8</t>
        </is>
      </c>
      <c r="D222" t="n">
        <v>2</v>
      </c>
      <c r="E222" t="inlineStr">
        <is>
          <t>Senior Tech Advisor - Digital</t>
        </is>
      </c>
      <c r="F222">
        <f>SUMIF($A$2:$A$1594,A222,$D$2:$D$1594)</f>
        <v/>
      </c>
    </row>
    <row r="223">
      <c r="A223" t="inlineStr">
        <is>
          <t>Loehr, Caitlin</t>
        </is>
      </c>
      <c r="B223" t="inlineStr">
        <is>
          <t>CORE-EMR ECHIS</t>
        </is>
      </c>
      <c r="C223" t="inlineStr">
        <is>
          <t>C2</t>
        </is>
      </c>
      <c r="D223" t="n">
        <v>7.7867</v>
      </c>
      <c r="E223" t="inlineStr">
        <is>
          <t>Senior Tech Advisor - Digital</t>
        </is>
      </c>
      <c r="F223">
        <f>SUMIF($A$2:$A$1594,A223,$D$2:$D$1594)</f>
        <v/>
      </c>
    </row>
    <row r="224">
      <c r="A224" t="inlineStr">
        <is>
          <t>Judice, Nicole</t>
        </is>
      </c>
      <c r="B224" t="inlineStr">
        <is>
          <t>CORE-EMR ECHIS</t>
        </is>
      </c>
      <c r="C224" t="inlineStr">
        <is>
          <t>T1.8</t>
        </is>
      </c>
      <c r="D224" t="n">
        <v>2</v>
      </c>
      <c r="E224" t="inlineStr">
        <is>
          <t xml:space="preserve">Director Pool </t>
        </is>
      </c>
      <c r="F224">
        <f>SUMIF($A$2:$A$1594,A224,$D$2:$D$1594)</f>
        <v/>
      </c>
    </row>
    <row r="225">
      <c r="A225" t="inlineStr">
        <is>
          <t>Judice, Nicole</t>
        </is>
      </c>
      <c r="B225" t="inlineStr">
        <is>
          <t>CORE-EMR ECHIS</t>
        </is>
      </c>
      <c r="C225" t="inlineStr">
        <is>
          <t>C2</t>
        </is>
      </c>
      <c r="D225" t="n">
        <v>10</v>
      </c>
      <c r="E225" t="inlineStr">
        <is>
          <t xml:space="preserve">Director Pool </t>
        </is>
      </c>
      <c r="F225">
        <f>SUMIF($A$2:$A$1594,A225,$D$2:$D$1594)</f>
        <v/>
      </c>
    </row>
    <row r="226">
      <c r="A226" t="inlineStr">
        <is>
          <t>Clanton, Kaley</t>
        </is>
      </c>
      <c r="B226" t="inlineStr">
        <is>
          <t>CORE-EMR ECHIS</t>
        </is>
      </c>
      <c r="C226" t="inlineStr">
        <is>
          <t>T1.8</t>
        </is>
      </c>
      <c r="D226" t="n">
        <v>5</v>
      </c>
      <c r="E226" t="inlineStr">
        <is>
          <t>Associate Pool</t>
        </is>
      </c>
      <c r="F226">
        <f>SUMIF($A$2:$A$1594,A226,$D$2:$D$1594)</f>
        <v/>
      </c>
    </row>
    <row r="227">
      <c r="A227" t="inlineStr">
        <is>
          <t>Clanton, Kaley</t>
        </is>
      </c>
      <c r="B227" t="inlineStr">
        <is>
          <t>CORE-EMR ECHIS</t>
        </is>
      </c>
      <c r="C227" t="inlineStr">
        <is>
          <t>C2</t>
        </is>
      </c>
      <c r="D227" t="n">
        <v>9</v>
      </c>
      <c r="E227" t="inlineStr">
        <is>
          <t>Associate Pool</t>
        </is>
      </c>
      <c r="F227">
        <f>SUMIF($A$2:$A$1594,A227,$D$2:$D$1594)</f>
        <v/>
      </c>
    </row>
    <row r="228">
      <c r="A228" t="inlineStr">
        <is>
          <t>Berihun, Tewodros</t>
        </is>
      </c>
      <c r="B228" t="inlineStr">
        <is>
          <t>CORE-EMR ECHIS</t>
        </is>
      </c>
      <c r="C228" t="inlineStr">
        <is>
          <t>T1.8</t>
        </is>
      </c>
      <c r="D228" t="n">
        <v>4</v>
      </c>
      <c r="E228" t="inlineStr">
        <is>
          <t>Senior Data Scientist</t>
        </is>
      </c>
      <c r="F228">
        <f>SUMIF($A$2:$A$1594,A228,$D$2:$D$1594)</f>
        <v/>
      </c>
    </row>
    <row r="229">
      <c r="A229" t="inlineStr">
        <is>
          <t>Berihun, Tewodros</t>
        </is>
      </c>
      <c r="B229" t="inlineStr">
        <is>
          <t>CORE-EMR ECHIS</t>
        </is>
      </c>
      <c r="C229" t="inlineStr">
        <is>
          <t>C2</t>
        </is>
      </c>
      <c r="D229" t="n">
        <v>10</v>
      </c>
      <c r="E229" t="inlineStr">
        <is>
          <t>Senior Data Scientist</t>
        </is>
      </c>
      <c r="F229">
        <f>SUMIF($A$2:$A$1594,A229,$D$2:$D$1594)</f>
        <v/>
      </c>
    </row>
    <row r="230">
      <c r="A230" t="inlineStr">
        <is>
          <t>Saint Germain, Maya</t>
        </is>
      </c>
      <c r="B230" t="inlineStr">
        <is>
          <t>CORE-EMR ECHIS</t>
        </is>
      </c>
      <c r="C230" t="inlineStr">
        <is>
          <t>T1.8</t>
        </is>
      </c>
      <c r="D230" t="n">
        <v>5</v>
      </c>
      <c r="E230" t="inlineStr">
        <is>
          <t>Program Manager</t>
        </is>
      </c>
      <c r="F230">
        <f>SUMIF($A$2:$A$1594,A230,$D$2:$D$1594)</f>
        <v/>
      </c>
    </row>
    <row r="231">
      <c r="A231" t="inlineStr">
        <is>
          <t>Saint Germain, Maya</t>
        </is>
      </c>
      <c r="B231" t="inlineStr">
        <is>
          <t>CORE-EMR ECHIS</t>
        </is>
      </c>
      <c r="C231" t="inlineStr">
        <is>
          <t>C2</t>
        </is>
      </c>
      <c r="D231" t="n">
        <v>20.3515</v>
      </c>
      <c r="E231" t="inlineStr">
        <is>
          <t>Program Manager</t>
        </is>
      </c>
      <c r="F231">
        <f>SUMIF($A$2:$A$1594,A231,$D$2:$D$1594)</f>
        <v/>
      </c>
    </row>
    <row r="232">
      <c r="A232" t="inlineStr">
        <is>
          <t>DiVenanzo, Lauren</t>
        </is>
      </c>
      <c r="B232" t="inlineStr">
        <is>
          <t>CORE-EMR ECHIS</t>
        </is>
      </c>
      <c r="C232" t="inlineStr">
        <is>
          <t>T1.8</t>
        </is>
      </c>
      <c r="D232" t="n">
        <v>5</v>
      </c>
      <c r="E232" t="inlineStr">
        <is>
          <t>Senior Tech Advisor - Digital</t>
        </is>
      </c>
      <c r="F232">
        <f>SUMIF($A$2:$A$1594,A232,$D$2:$D$1594)</f>
        <v/>
      </c>
    </row>
    <row r="233">
      <c r="A233" t="inlineStr">
        <is>
          <t>DiVenanzo, Lauren</t>
        </is>
      </c>
      <c r="B233" t="inlineStr">
        <is>
          <t>CORE-EMR ECHIS</t>
        </is>
      </c>
      <c r="C233" t="inlineStr">
        <is>
          <t>C2</t>
        </is>
      </c>
      <c r="D233" t="n">
        <v>20.3515</v>
      </c>
      <c r="E233" t="inlineStr">
        <is>
          <t>Senior Tech Advisor - Digital</t>
        </is>
      </c>
      <c r="F233">
        <f>SUMIF($A$2:$A$1594,A233,$D$2:$D$1594)</f>
        <v/>
      </c>
    </row>
    <row r="234">
      <c r="A234" t="inlineStr">
        <is>
          <t>Cavanaugh, Clint</t>
        </is>
      </c>
      <c r="B234" t="inlineStr">
        <is>
          <t>CORE-EMR ECHIS</t>
        </is>
      </c>
      <c r="C234" t="inlineStr">
        <is>
          <t>T1.8</t>
        </is>
      </c>
      <c r="D234" t="n">
        <v>2</v>
      </c>
      <c r="E234" t="inlineStr">
        <is>
          <t>Senior Health Director</t>
        </is>
      </c>
      <c r="F234">
        <f>SUMIF($A$2:$A$1594,A234,$D$2:$D$1594)</f>
        <v/>
      </c>
    </row>
    <row r="235">
      <c r="A235" t="inlineStr">
        <is>
          <t>Cavanaugh, Clint</t>
        </is>
      </c>
      <c r="B235" t="inlineStr">
        <is>
          <t>CORE-EMR ECHIS</t>
        </is>
      </c>
      <c r="C235" t="inlineStr">
        <is>
          <t>C2</t>
        </is>
      </c>
      <c r="D235" t="n">
        <v>5.1321</v>
      </c>
      <c r="E235" t="inlineStr">
        <is>
          <t>Senior Health Director</t>
        </is>
      </c>
      <c r="F235">
        <f>SUMIF($A$2:$A$1594,A235,$D$2:$D$1594)</f>
        <v/>
      </c>
    </row>
    <row r="236">
      <c r="A236" t="inlineStr">
        <is>
          <t>Mathias, John</t>
        </is>
      </c>
      <c r="B236" t="inlineStr">
        <is>
          <t>CORE-EMR ECHIS</t>
        </is>
      </c>
      <c r="C236" t="inlineStr">
        <is>
          <t>T1.8</t>
        </is>
      </c>
      <c r="D236" t="n">
        <v>2</v>
      </c>
      <c r="E236" t="inlineStr">
        <is>
          <t>Operations Director</t>
        </is>
      </c>
      <c r="F236">
        <f>SUMIF($A$2:$A$1594,A236,$D$2:$D$1594)</f>
        <v/>
      </c>
    </row>
    <row r="237">
      <c r="A237" t="inlineStr">
        <is>
          <t>Mathias, John</t>
        </is>
      </c>
      <c r="B237" t="inlineStr">
        <is>
          <t>CORE-EMR ECHIS</t>
        </is>
      </c>
      <c r="C237" t="inlineStr">
        <is>
          <t>C2</t>
        </is>
      </c>
      <c r="D237" t="n">
        <v>7.3783</v>
      </c>
      <c r="E237" t="inlineStr">
        <is>
          <t>Operations Director</t>
        </is>
      </c>
      <c r="F237">
        <f>SUMIF($A$2:$A$1594,A237,$D$2:$D$1594)</f>
        <v/>
      </c>
    </row>
    <row r="238">
      <c r="A238" t="inlineStr">
        <is>
          <t>Misomali, Mark</t>
        </is>
      </c>
      <c r="B238" t="inlineStr">
        <is>
          <t>CORE-EMR ECHIS</t>
        </is>
      </c>
      <c r="C238" t="inlineStr">
        <is>
          <t>T1.8</t>
        </is>
      </c>
      <c r="D238" t="n">
        <v>2</v>
      </c>
      <c r="E238" t="inlineStr">
        <is>
          <t xml:space="preserve">Operations Sr Finance Manager   </t>
        </is>
      </c>
      <c r="F238">
        <f>SUMIF($A$2:$A$1594,A238,$D$2:$D$1594)</f>
        <v/>
      </c>
    </row>
    <row r="239">
      <c r="A239" t="inlineStr">
        <is>
          <t>Misomali, Mark</t>
        </is>
      </c>
      <c r="B239" t="inlineStr">
        <is>
          <t>CORE-EMR ECHIS</t>
        </is>
      </c>
      <c r="C239" t="inlineStr">
        <is>
          <t>C2</t>
        </is>
      </c>
      <c r="D239" t="n">
        <v>7.3783</v>
      </c>
      <c r="E239" t="inlineStr">
        <is>
          <t xml:space="preserve">Operations Sr Finance Manager   </t>
        </is>
      </c>
      <c r="F239">
        <f>SUMIF($A$2:$A$1594,A239,$D$2:$D$1594)</f>
        <v/>
      </c>
    </row>
    <row r="240">
      <c r="A240" t="inlineStr">
        <is>
          <t>Noorzai, Mahmood</t>
        </is>
      </c>
      <c r="B240" t="inlineStr">
        <is>
          <t>CORE-EMR ECHIS</t>
        </is>
      </c>
      <c r="C240" t="inlineStr">
        <is>
          <t>T1.8</t>
        </is>
      </c>
      <c r="D240" t="n">
        <v>2</v>
      </c>
      <c r="E240" t="inlineStr">
        <is>
          <t>Operations Finance Associate</t>
        </is>
      </c>
      <c r="F240">
        <f>SUMIF($A$2:$A$1594,A240,$D$2:$D$1594)</f>
        <v/>
      </c>
    </row>
    <row r="241">
      <c r="A241" t="inlineStr">
        <is>
          <t>Noorzai, Mahmood</t>
        </is>
      </c>
      <c r="B241" t="inlineStr">
        <is>
          <t>CORE-EMR ECHIS</t>
        </is>
      </c>
      <c r="C241" t="inlineStr">
        <is>
          <t>C2</t>
        </is>
      </c>
      <c r="D241" t="n">
        <v>7.3783</v>
      </c>
      <c r="E241" t="inlineStr">
        <is>
          <t>Operations Finance Associate</t>
        </is>
      </c>
      <c r="F241">
        <f>SUMIF($A$2:$A$1594,A241,$D$2:$D$1594)</f>
        <v/>
      </c>
    </row>
    <row r="242">
      <c r="A242" t="inlineStr">
        <is>
          <t>Bradford, Stephanie</t>
        </is>
      </c>
      <c r="B242" t="inlineStr">
        <is>
          <t>CORE-EMR ECHIS</t>
        </is>
      </c>
      <c r="C242" t="inlineStr">
        <is>
          <t>T1.8</t>
        </is>
      </c>
      <c r="D242" t="n">
        <v>5</v>
      </c>
      <c r="E242" t="inlineStr">
        <is>
          <t>Operations Senior Manager Pool-17</t>
        </is>
      </c>
      <c r="F242">
        <f>SUMIF($A$2:$A$1594,A242,$D$2:$D$1594)</f>
        <v/>
      </c>
    </row>
    <row r="243">
      <c r="A243" t="inlineStr">
        <is>
          <t>Bradford, Stephanie</t>
        </is>
      </c>
      <c r="B243" t="inlineStr">
        <is>
          <t>CORE-EMR ECHIS</t>
        </is>
      </c>
      <c r="C243" t="inlineStr">
        <is>
          <t>C2</t>
        </is>
      </c>
      <c r="D243" t="n">
        <v>20</v>
      </c>
      <c r="E243" t="inlineStr">
        <is>
          <t>Operations Senior Manager Pool-17</t>
        </is>
      </c>
      <c r="F243">
        <f>SUMIF($A$2:$A$1594,A243,$D$2:$D$1594)</f>
        <v/>
      </c>
    </row>
    <row r="244">
      <c r="A244" t="inlineStr">
        <is>
          <t>Nabeel, Shayan</t>
        </is>
      </c>
      <c r="B244" t="inlineStr">
        <is>
          <t>CORE-EMR ECHIS</t>
        </is>
      </c>
      <c r="C244" t="inlineStr">
        <is>
          <t>T1.8</t>
        </is>
      </c>
      <c r="D244" t="n">
        <v>3</v>
      </c>
      <c r="E244" t="inlineStr">
        <is>
          <t>Operations Manager level - 16</t>
        </is>
      </c>
      <c r="F244">
        <f>SUMIF($A$2:$A$1594,A244,$D$2:$D$1594)</f>
        <v/>
      </c>
    </row>
    <row r="245">
      <c r="A245" t="inlineStr">
        <is>
          <t>Nabeel, Shayan</t>
        </is>
      </c>
      <c r="B245" t="inlineStr">
        <is>
          <t>CORE-EMR ECHIS</t>
        </is>
      </c>
      <c r="C245" t="inlineStr">
        <is>
          <t>C2</t>
        </is>
      </c>
      <c r="D245" t="n">
        <v>10</v>
      </c>
      <c r="E245" t="inlineStr">
        <is>
          <t>Operations Manager level - 16</t>
        </is>
      </c>
      <c r="F245">
        <f>SUMIF($A$2:$A$1594,A245,$D$2:$D$1594)</f>
        <v/>
      </c>
    </row>
    <row r="246">
      <c r="A246" t="inlineStr">
        <is>
          <t>Mawandia, Shreshth</t>
        </is>
      </c>
      <c r="B246" t="inlineStr">
        <is>
          <t>CORE-Ebola</t>
        </is>
      </c>
      <c r="C246" t="inlineStr">
        <is>
          <t>T1.4</t>
        </is>
      </c>
      <c r="D246" t="n">
        <v>11</v>
      </c>
      <c r="E246" t="inlineStr">
        <is>
          <t>KP - Project Director</t>
        </is>
      </c>
      <c r="F246">
        <f>SUMIF($A$2:$A$1594,A246,$D$2:$D$1594)</f>
        <v/>
      </c>
    </row>
    <row r="247">
      <c r="A247" t="inlineStr">
        <is>
          <t>Mawandia, Shreshth</t>
        </is>
      </c>
      <c r="B247" t="inlineStr">
        <is>
          <t>CORE-Ebola</t>
        </is>
      </c>
      <c r="C247" t="inlineStr">
        <is>
          <t>E1</t>
        </is>
      </c>
      <c r="D247" t="n">
        <v>7</v>
      </c>
      <c r="E247" t="inlineStr">
        <is>
          <t>KP - Project Director</t>
        </is>
      </c>
      <c r="F247">
        <f>SUMIF($A$2:$A$1594,A247,$D$2:$D$1594)</f>
        <v/>
      </c>
    </row>
    <row r="248">
      <c r="A248" t="inlineStr">
        <is>
          <t>Mawandia, Shreshth</t>
        </is>
      </c>
      <c r="B248" t="inlineStr">
        <is>
          <t>CORE-Ebola</t>
        </is>
      </c>
      <c r="C248" t="inlineStr">
        <is>
          <t>E2</t>
        </is>
      </c>
      <c r="D248" t="n">
        <v>6</v>
      </c>
      <c r="E248" t="inlineStr">
        <is>
          <t>KP - Project Director</t>
        </is>
      </c>
      <c r="F248">
        <f>SUMIF($A$2:$A$1594,A248,$D$2:$D$1594)</f>
        <v/>
      </c>
    </row>
    <row r="249">
      <c r="A249" t="inlineStr">
        <is>
          <t>Mawandia, Shreshth</t>
        </is>
      </c>
      <c r="B249" t="inlineStr">
        <is>
          <t>CORE-Ebola</t>
        </is>
      </c>
      <c r="C249" t="inlineStr">
        <is>
          <t>E3</t>
        </is>
      </c>
      <c r="D249" t="n">
        <v>1</v>
      </c>
      <c r="E249" t="inlineStr">
        <is>
          <t>KP - Project Director</t>
        </is>
      </c>
      <c r="F249">
        <f>SUMIF($A$2:$A$1594,A249,$D$2:$D$1594)</f>
        <v/>
      </c>
    </row>
    <row r="250">
      <c r="A250" t="inlineStr">
        <is>
          <t>Nigussie, Netsanet</t>
        </is>
      </c>
      <c r="B250" t="inlineStr">
        <is>
          <t>CORE-Ebola</t>
        </is>
      </c>
      <c r="C250" t="inlineStr">
        <is>
          <t>T1.4</t>
        </is>
      </c>
      <c r="D250" t="n">
        <v>11</v>
      </c>
      <c r="E250" t="inlineStr">
        <is>
          <t>KP - Technical Director</t>
        </is>
      </c>
      <c r="F250">
        <f>SUMIF($A$2:$A$1594,A250,$D$2:$D$1594)</f>
        <v/>
      </c>
    </row>
    <row r="251">
      <c r="A251" t="inlineStr">
        <is>
          <t>Nigussie, Netsanet</t>
        </is>
      </c>
      <c r="B251" t="inlineStr">
        <is>
          <t>CORE-Ebola</t>
        </is>
      </c>
      <c r="C251" t="inlineStr">
        <is>
          <t>E1</t>
        </is>
      </c>
      <c r="D251" t="n">
        <v>7</v>
      </c>
      <c r="E251" t="inlineStr">
        <is>
          <t>KP - Technical Director</t>
        </is>
      </c>
      <c r="F251">
        <f>SUMIF($A$2:$A$1594,A251,$D$2:$D$1594)</f>
        <v/>
      </c>
    </row>
    <row r="252">
      <c r="A252" t="inlineStr">
        <is>
          <t>Nigussie, Netsanet</t>
        </is>
      </c>
      <c r="B252" t="inlineStr">
        <is>
          <t>CORE-Ebola</t>
        </is>
      </c>
      <c r="C252" t="inlineStr">
        <is>
          <t>E2</t>
        </is>
      </c>
      <c r="D252" t="n">
        <v>6</v>
      </c>
      <c r="E252" t="inlineStr">
        <is>
          <t>KP - Technical Director</t>
        </is>
      </c>
      <c r="F252">
        <f>SUMIF($A$2:$A$1594,A252,$D$2:$D$1594)</f>
        <v/>
      </c>
    </row>
    <row r="253">
      <c r="A253" t="inlineStr">
        <is>
          <t>Nigussie, Netsanet</t>
        </is>
      </c>
      <c r="B253" t="inlineStr">
        <is>
          <t>CORE-Ebola</t>
        </is>
      </c>
      <c r="C253" t="inlineStr">
        <is>
          <t>E3</t>
        </is>
      </c>
      <c r="D253" t="n">
        <v>1</v>
      </c>
      <c r="E253" t="inlineStr">
        <is>
          <t>KP - Technical Director</t>
        </is>
      </c>
      <c r="F253">
        <f>SUMIF($A$2:$A$1594,A253,$D$2:$D$1594)</f>
        <v/>
      </c>
    </row>
    <row r="254">
      <c r="A254" t="inlineStr">
        <is>
          <t>Mensah, Margaret</t>
        </is>
      </c>
      <c r="B254" t="inlineStr">
        <is>
          <t>CORE-Ebola</t>
        </is>
      </c>
      <c r="C254" t="inlineStr">
        <is>
          <t>T1.4</t>
        </is>
      </c>
      <c r="D254" t="n">
        <v>11</v>
      </c>
      <c r="E254" t="inlineStr">
        <is>
          <t>KP - Finance Director</t>
        </is>
      </c>
      <c r="F254">
        <f>SUMIF($A$2:$A$1594,A254,$D$2:$D$1594)</f>
        <v/>
      </c>
    </row>
    <row r="255">
      <c r="A255" t="inlineStr">
        <is>
          <t>Mensah, Margaret</t>
        </is>
      </c>
      <c r="B255" t="inlineStr">
        <is>
          <t>CORE-Ebola</t>
        </is>
      </c>
      <c r="C255" t="inlineStr">
        <is>
          <t>E1</t>
        </is>
      </c>
      <c r="D255" t="n">
        <v>7</v>
      </c>
      <c r="E255" t="inlineStr">
        <is>
          <t>KP - Finance Director</t>
        </is>
      </c>
      <c r="F255">
        <f>SUMIF($A$2:$A$1594,A255,$D$2:$D$1594)</f>
        <v/>
      </c>
    </row>
    <row r="256">
      <c r="A256" t="inlineStr">
        <is>
          <t>Mensah, Margaret</t>
        </is>
      </c>
      <c r="B256" t="inlineStr">
        <is>
          <t>CORE-Ebola</t>
        </is>
      </c>
      <c r="C256" t="inlineStr">
        <is>
          <t>E2</t>
        </is>
      </c>
      <c r="D256" t="n">
        <v>6</v>
      </c>
      <c r="E256" t="inlineStr">
        <is>
          <t>KP - Finance Director</t>
        </is>
      </c>
      <c r="F256">
        <f>SUMIF($A$2:$A$1594,A256,$D$2:$D$1594)</f>
        <v/>
      </c>
    </row>
    <row r="257">
      <c r="A257" t="inlineStr">
        <is>
          <t>Mensah, Margaret</t>
        </is>
      </c>
      <c r="B257" t="inlineStr">
        <is>
          <t>CORE-Ebola</t>
        </is>
      </c>
      <c r="C257" t="inlineStr">
        <is>
          <t>E3</t>
        </is>
      </c>
      <c r="D257" t="n">
        <v>1</v>
      </c>
      <c r="E257" t="inlineStr">
        <is>
          <t>KP - Finance Director</t>
        </is>
      </c>
      <c r="F257">
        <f>SUMIF($A$2:$A$1594,A257,$D$2:$D$1594)</f>
        <v/>
      </c>
    </row>
    <row r="258">
      <c r="A258" t="inlineStr">
        <is>
          <t>Odhiambo, Jacob</t>
        </is>
      </c>
      <c r="B258" t="inlineStr">
        <is>
          <t>CORE-Ebola</t>
        </is>
      </c>
      <c r="C258" t="inlineStr">
        <is>
          <t>T1.4</t>
        </is>
      </c>
      <c r="D258" t="n">
        <v>11</v>
      </c>
      <c r="E258" t="inlineStr">
        <is>
          <t>Objective 1 Lead</t>
        </is>
      </c>
      <c r="F258">
        <f>SUMIF($A$2:$A$1594,A258,$D$2:$D$1594)</f>
        <v/>
      </c>
    </row>
    <row r="259">
      <c r="A259" t="inlineStr">
        <is>
          <t>Odhiambo, Jacob</t>
        </is>
      </c>
      <c r="B259" t="inlineStr">
        <is>
          <t>CORE-Ebola</t>
        </is>
      </c>
      <c r="C259" t="inlineStr">
        <is>
          <t>E1</t>
        </is>
      </c>
      <c r="D259" t="n">
        <v>7</v>
      </c>
      <c r="E259" t="inlineStr">
        <is>
          <t>Objective 1 Lead</t>
        </is>
      </c>
      <c r="F259">
        <f>SUMIF($A$2:$A$1594,A259,$D$2:$D$1594)</f>
        <v/>
      </c>
    </row>
    <row r="260">
      <c r="A260" t="inlineStr">
        <is>
          <t>Odhiambo, Jacob</t>
        </is>
      </c>
      <c r="B260" t="inlineStr">
        <is>
          <t>CORE-Ebola</t>
        </is>
      </c>
      <c r="C260" t="inlineStr">
        <is>
          <t>E2</t>
        </is>
      </c>
      <c r="D260" t="n">
        <v>6</v>
      </c>
      <c r="E260" t="inlineStr">
        <is>
          <t>Objective 1 Lead</t>
        </is>
      </c>
      <c r="F260">
        <f>SUMIF($A$2:$A$1594,A260,$D$2:$D$1594)</f>
        <v/>
      </c>
    </row>
    <row r="261">
      <c r="A261" t="inlineStr">
        <is>
          <t>Odhiambo, Jacob</t>
        </is>
      </c>
      <c r="B261" t="inlineStr">
        <is>
          <t>CORE-Ebola</t>
        </is>
      </c>
      <c r="C261" t="inlineStr">
        <is>
          <t>E3</t>
        </is>
      </c>
      <c r="D261" t="n">
        <v>1</v>
      </c>
      <c r="E261" t="inlineStr">
        <is>
          <t>Objective 1 Lead</t>
        </is>
      </c>
      <c r="F261">
        <f>SUMIF($A$2:$A$1594,A261,$D$2:$D$1594)</f>
        <v/>
      </c>
    </row>
    <row r="262">
      <c r="A262" t="inlineStr">
        <is>
          <t>Kasera, George</t>
        </is>
      </c>
      <c r="B262" t="inlineStr">
        <is>
          <t>CORE-Ebola</t>
        </is>
      </c>
      <c r="C262" t="inlineStr">
        <is>
          <t>T1.4</t>
        </is>
      </c>
      <c r="D262" t="n">
        <v>4</v>
      </c>
      <c r="E262" t="inlineStr">
        <is>
          <t>Objective 3 Lead</t>
        </is>
      </c>
      <c r="F262">
        <f>SUMIF($A$2:$A$1594,A262,$D$2:$D$1594)</f>
        <v/>
      </c>
    </row>
    <row r="263">
      <c r="A263" t="inlineStr">
        <is>
          <t>Kasera, George</t>
        </is>
      </c>
      <c r="B263" t="inlineStr">
        <is>
          <t>CORE-Ebola</t>
        </is>
      </c>
      <c r="C263" t="inlineStr">
        <is>
          <t>E1</t>
        </is>
      </c>
      <c r="D263" t="n">
        <v>3</v>
      </c>
      <c r="E263" t="inlineStr">
        <is>
          <t>Objective 3 Lead</t>
        </is>
      </c>
      <c r="F263">
        <f>SUMIF($A$2:$A$1594,A263,$D$2:$D$1594)</f>
        <v/>
      </c>
    </row>
    <row r="264">
      <c r="A264" t="inlineStr">
        <is>
          <t>Kasera, George</t>
        </is>
      </c>
      <c r="B264" t="inlineStr">
        <is>
          <t>CORE-Ebola</t>
        </is>
      </c>
      <c r="C264" t="inlineStr">
        <is>
          <t>E2</t>
        </is>
      </c>
      <c r="D264" t="n">
        <v>3</v>
      </c>
      <c r="E264" t="inlineStr">
        <is>
          <t>Objective 3 Lead</t>
        </is>
      </c>
      <c r="F264">
        <f>SUMIF($A$2:$A$1594,A264,$D$2:$D$1594)</f>
        <v/>
      </c>
    </row>
    <row r="265">
      <c r="A265" t="inlineStr">
        <is>
          <t>Kasera, George</t>
        </is>
      </c>
      <c r="B265" t="inlineStr">
        <is>
          <t>CORE-Ebola</t>
        </is>
      </c>
      <c r="C265" t="inlineStr">
        <is>
          <t>E3</t>
        </is>
      </c>
      <c r="D265" t="n">
        <v>2</v>
      </c>
      <c r="E265" t="inlineStr">
        <is>
          <t>Objective 3 Lead</t>
        </is>
      </c>
      <c r="F265">
        <f>SUMIF($A$2:$A$1594,A265,$D$2:$D$1594)</f>
        <v/>
      </c>
    </row>
    <row r="266">
      <c r="A266" t="inlineStr">
        <is>
          <t>Vargas Monzon, Julio</t>
        </is>
      </c>
      <c r="B266" t="inlineStr">
        <is>
          <t>CORE-Ebola</t>
        </is>
      </c>
      <c r="C266" t="inlineStr">
        <is>
          <t>T1.4</t>
        </is>
      </c>
      <c r="D266" t="n">
        <v>4</v>
      </c>
      <c r="E266" t="inlineStr">
        <is>
          <t>Infosec Co-Lead</t>
        </is>
      </c>
      <c r="F266">
        <f>SUMIF($A$2:$A$1594,A266,$D$2:$D$1594)</f>
        <v/>
      </c>
    </row>
    <row r="267">
      <c r="A267" t="inlineStr">
        <is>
          <t>Vargas Monzon, Julio</t>
        </is>
      </c>
      <c r="B267" t="inlineStr">
        <is>
          <t>CORE-Ebola</t>
        </is>
      </c>
      <c r="C267" t="inlineStr">
        <is>
          <t>E1</t>
        </is>
      </c>
      <c r="D267" t="n">
        <v>3</v>
      </c>
      <c r="E267" t="inlineStr">
        <is>
          <t>Infosec Co-Lead</t>
        </is>
      </c>
      <c r="F267">
        <f>SUMIF($A$2:$A$1594,A267,$D$2:$D$1594)</f>
        <v/>
      </c>
    </row>
    <row r="268">
      <c r="A268" t="inlineStr">
        <is>
          <t>Vargas Monzon, Julio</t>
        </is>
      </c>
      <c r="B268" t="inlineStr">
        <is>
          <t>CORE-Ebola</t>
        </is>
      </c>
      <c r="C268" t="inlineStr">
        <is>
          <t>E2</t>
        </is>
      </c>
      <c r="D268" t="n">
        <v>2</v>
      </c>
      <c r="E268" t="inlineStr">
        <is>
          <t>Infosec Co-Lead</t>
        </is>
      </c>
      <c r="F268">
        <f>SUMIF($A$2:$A$1594,A268,$D$2:$D$1594)</f>
        <v/>
      </c>
    </row>
    <row r="269">
      <c r="A269" t="inlineStr">
        <is>
          <t>Vargas Monzon, Julio</t>
        </is>
      </c>
      <c r="B269" t="inlineStr">
        <is>
          <t>CORE-Ebola</t>
        </is>
      </c>
      <c r="C269" t="inlineStr">
        <is>
          <t>E3</t>
        </is>
      </c>
      <c r="D269" t="n">
        <v>2</v>
      </c>
      <c r="E269" t="inlineStr">
        <is>
          <t>Infosec Co-Lead</t>
        </is>
      </c>
      <c r="F269">
        <f>SUMIF($A$2:$A$1594,A269,$D$2:$D$1594)</f>
        <v/>
      </c>
    </row>
    <row r="270">
      <c r="A270" t="inlineStr">
        <is>
          <t>Showalter, Caitlin</t>
        </is>
      </c>
      <c r="B270" t="inlineStr">
        <is>
          <t>CORE-Ebola</t>
        </is>
      </c>
      <c r="C270" t="inlineStr">
        <is>
          <t>T1.4</t>
        </is>
      </c>
      <c r="D270" t="n">
        <v>8</v>
      </c>
      <c r="E270" t="inlineStr">
        <is>
          <t>M&amp;E and Learning</t>
        </is>
      </c>
      <c r="F270">
        <f>SUMIF($A$2:$A$1594,A270,$D$2:$D$1594)</f>
        <v/>
      </c>
    </row>
    <row r="271">
      <c r="A271" t="inlineStr">
        <is>
          <t>Showalter, Caitlin</t>
        </is>
      </c>
      <c r="B271" t="inlineStr">
        <is>
          <t>CORE-Ebola</t>
        </is>
      </c>
      <c r="C271" t="inlineStr">
        <is>
          <t>E1</t>
        </is>
      </c>
      <c r="D271" t="n">
        <v>6</v>
      </c>
      <c r="E271" t="inlineStr">
        <is>
          <t>M&amp;E and Learning</t>
        </is>
      </c>
      <c r="F271">
        <f>SUMIF($A$2:$A$1594,A271,$D$2:$D$1594)</f>
        <v/>
      </c>
    </row>
    <row r="272">
      <c r="A272" t="inlineStr">
        <is>
          <t>Showalter, Caitlin</t>
        </is>
      </c>
      <c r="B272" t="inlineStr">
        <is>
          <t>CORE-Ebola</t>
        </is>
      </c>
      <c r="C272" t="inlineStr">
        <is>
          <t>E2</t>
        </is>
      </c>
      <c r="D272" t="n">
        <v>5</v>
      </c>
      <c r="E272" t="inlineStr">
        <is>
          <t>M&amp;E and Learning</t>
        </is>
      </c>
      <c r="F272">
        <f>SUMIF($A$2:$A$1594,A272,$D$2:$D$1594)</f>
        <v/>
      </c>
    </row>
    <row r="273">
      <c r="A273" t="inlineStr">
        <is>
          <t>Showalter, Caitlin</t>
        </is>
      </c>
      <c r="B273" t="inlineStr">
        <is>
          <t>CORE-Ebola</t>
        </is>
      </c>
      <c r="C273" t="inlineStr">
        <is>
          <t>E3</t>
        </is>
      </c>
      <c r="D273" t="n">
        <v>4</v>
      </c>
      <c r="E273" t="inlineStr">
        <is>
          <t>M&amp;E and Learning</t>
        </is>
      </c>
      <c r="F273">
        <f>SUMIF($A$2:$A$1594,A273,$D$2:$D$1594)</f>
        <v/>
      </c>
    </row>
    <row r="274">
      <c r="A274" t="inlineStr">
        <is>
          <t>Miranda Rondon de Ro, Ing</t>
        </is>
      </c>
      <c r="B274" t="inlineStr">
        <is>
          <t>CORE-Ebola</t>
        </is>
      </c>
      <c r="C274" t="inlineStr">
        <is>
          <t>T1.4</t>
        </is>
      </c>
      <c r="D274" t="n">
        <v>8</v>
      </c>
      <c r="E274" t="inlineStr">
        <is>
          <t>M&amp;E and Learning</t>
        </is>
      </c>
      <c r="F274">
        <f>SUMIF($A$2:$A$1594,A274,$D$2:$D$1594)</f>
        <v/>
      </c>
    </row>
    <row r="275">
      <c r="A275" t="inlineStr">
        <is>
          <t>Miranda Rondon de Ro, Ing</t>
        </is>
      </c>
      <c r="B275" t="inlineStr">
        <is>
          <t>CORE-Ebola</t>
        </is>
      </c>
      <c r="C275" t="inlineStr">
        <is>
          <t>E1</t>
        </is>
      </c>
      <c r="D275" t="n">
        <v>6</v>
      </c>
      <c r="E275" t="inlineStr">
        <is>
          <t>M&amp;E and Learning</t>
        </is>
      </c>
      <c r="F275">
        <f>SUMIF($A$2:$A$1594,A275,$D$2:$D$1594)</f>
        <v/>
      </c>
    </row>
    <row r="276">
      <c r="A276" t="inlineStr">
        <is>
          <t>Miranda Rondon de Ro, Ing</t>
        </is>
      </c>
      <c r="B276" t="inlineStr">
        <is>
          <t>CORE-Ebola</t>
        </is>
      </c>
      <c r="C276" t="inlineStr">
        <is>
          <t>E2</t>
        </is>
      </c>
      <c r="D276" t="n">
        <v>5</v>
      </c>
      <c r="E276" t="inlineStr">
        <is>
          <t>M&amp;E and Learning</t>
        </is>
      </c>
      <c r="F276">
        <f>SUMIF($A$2:$A$1594,A276,$D$2:$D$1594)</f>
        <v/>
      </c>
    </row>
    <row r="277">
      <c r="A277" t="inlineStr">
        <is>
          <t>Miranda Rondon de Ro, Ing</t>
        </is>
      </c>
      <c r="B277" t="inlineStr">
        <is>
          <t>CORE-Ebola</t>
        </is>
      </c>
      <c r="C277" t="inlineStr">
        <is>
          <t>E3</t>
        </is>
      </c>
      <c r="D277" t="n">
        <v>4</v>
      </c>
      <c r="E277" t="inlineStr">
        <is>
          <t>M&amp;E and Learning</t>
        </is>
      </c>
      <c r="F277">
        <f>SUMIF($A$2:$A$1594,A277,$D$2:$D$1594)</f>
        <v/>
      </c>
    </row>
    <row r="278">
      <c r="A278" t="inlineStr">
        <is>
          <t>Sakaguchi, Kevin</t>
        </is>
      </c>
      <c r="B278" t="inlineStr">
        <is>
          <t>CORE-Ebola</t>
        </is>
      </c>
      <c r="C278" t="inlineStr">
        <is>
          <t>T1.4</t>
        </is>
      </c>
      <c r="D278" t="n">
        <v>8</v>
      </c>
      <c r="E278" t="inlineStr">
        <is>
          <t>M&amp;E and Learning</t>
        </is>
      </c>
      <c r="F278">
        <f>SUMIF($A$2:$A$1594,A278,$D$2:$D$1594)</f>
        <v/>
      </c>
    </row>
    <row r="279">
      <c r="A279" t="inlineStr">
        <is>
          <t>Sakaguchi, Kevin</t>
        </is>
      </c>
      <c r="B279" t="inlineStr">
        <is>
          <t>CORE-Ebola</t>
        </is>
      </c>
      <c r="C279" t="inlineStr">
        <is>
          <t>E1</t>
        </is>
      </c>
      <c r="D279" t="n">
        <v>6</v>
      </c>
      <c r="E279" t="inlineStr">
        <is>
          <t>M&amp;E and Learning</t>
        </is>
      </c>
      <c r="F279">
        <f>SUMIF($A$2:$A$1594,A279,$D$2:$D$1594)</f>
        <v/>
      </c>
    </row>
    <row r="280">
      <c r="A280" t="inlineStr">
        <is>
          <t>Sakaguchi, Kevin</t>
        </is>
      </c>
      <c r="B280" t="inlineStr">
        <is>
          <t>CORE-Ebola</t>
        </is>
      </c>
      <c r="C280" t="inlineStr">
        <is>
          <t>E2</t>
        </is>
      </c>
      <c r="D280" t="n">
        <v>5</v>
      </c>
      <c r="E280" t="inlineStr">
        <is>
          <t>M&amp;E and Learning</t>
        </is>
      </c>
      <c r="F280">
        <f>SUMIF($A$2:$A$1594,A280,$D$2:$D$1594)</f>
        <v/>
      </c>
    </row>
    <row r="281">
      <c r="A281" t="inlineStr">
        <is>
          <t>Sakaguchi, Kevin</t>
        </is>
      </c>
      <c r="B281" t="inlineStr">
        <is>
          <t>CORE-Ebola</t>
        </is>
      </c>
      <c r="C281" t="inlineStr">
        <is>
          <t>E3</t>
        </is>
      </c>
      <c r="D281" t="n">
        <v>4</v>
      </c>
      <c r="E281" t="inlineStr">
        <is>
          <t>M&amp;E and Learning</t>
        </is>
      </c>
      <c r="F281">
        <f>SUMIF($A$2:$A$1594,A281,$D$2:$D$1594)</f>
        <v/>
      </c>
    </row>
    <row r="282">
      <c r="A282" t="inlineStr">
        <is>
          <t>Claussen, Laurence</t>
        </is>
      </c>
      <c r="B282" t="inlineStr">
        <is>
          <t>CORE-Ebola</t>
        </is>
      </c>
      <c r="C282" t="inlineStr">
        <is>
          <t>T1.4</t>
        </is>
      </c>
      <c r="D282" t="n">
        <v>8</v>
      </c>
      <c r="E282" t="inlineStr">
        <is>
          <t>Comms Manager</t>
        </is>
      </c>
      <c r="F282">
        <f>SUMIF($A$2:$A$1594,A282,$D$2:$D$1594)</f>
        <v/>
      </c>
    </row>
    <row r="283">
      <c r="A283" t="inlineStr">
        <is>
          <t>Claussen, Laurence</t>
        </is>
      </c>
      <c r="B283" t="inlineStr">
        <is>
          <t>CORE-Ebola</t>
        </is>
      </c>
      <c r="C283" t="inlineStr">
        <is>
          <t>E1</t>
        </is>
      </c>
      <c r="D283" t="n">
        <v>6</v>
      </c>
      <c r="E283" t="inlineStr">
        <is>
          <t>Comms Manager</t>
        </is>
      </c>
      <c r="F283">
        <f>SUMIF($A$2:$A$1594,A283,$D$2:$D$1594)</f>
        <v/>
      </c>
    </row>
    <row r="284">
      <c r="A284" t="inlineStr">
        <is>
          <t>Claussen, Laurence</t>
        </is>
      </c>
      <c r="B284" t="inlineStr">
        <is>
          <t>CORE-Ebola</t>
        </is>
      </c>
      <c r="C284" t="inlineStr">
        <is>
          <t>E2</t>
        </is>
      </c>
      <c r="D284" t="n">
        <v>5</v>
      </c>
      <c r="E284" t="inlineStr">
        <is>
          <t>Comms Manager</t>
        </is>
      </c>
      <c r="F284">
        <f>SUMIF($A$2:$A$1594,A284,$D$2:$D$1594)</f>
        <v/>
      </c>
    </row>
    <row r="285">
      <c r="A285" t="inlineStr">
        <is>
          <t>Claussen, Laurence</t>
        </is>
      </c>
      <c r="B285" t="inlineStr">
        <is>
          <t>CORE-Ebola</t>
        </is>
      </c>
      <c r="C285" t="inlineStr">
        <is>
          <t>E3</t>
        </is>
      </c>
      <c r="D285" t="n">
        <v>4</v>
      </c>
      <c r="E285" t="inlineStr">
        <is>
          <t>Comms Manager</t>
        </is>
      </c>
      <c r="F285">
        <f>SUMIF($A$2:$A$1594,A285,$D$2:$D$1594)</f>
        <v/>
      </c>
    </row>
    <row r="286">
      <c r="A286" t="inlineStr">
        <is>
          <t>Loehr, Caitlin</t>
        </is>
      </c>
      <c r="B286" t="inlineStr">
        <is>
          <t>CORE-Ebola</t>
        </is>
      </c>
      <c r="C286" t="inlineStr">
        <is>
          <t>T1.4</t>
        </is>
      </c>
      <c r="D286" t="n">
        <v>8</v>
      </c>
      <c r="E286" t="inlineStr">
        <is>
          <t>Senior Tech Advisor - Digital</t>
        </is>
      </c>
      <c r="F286">
        <f>SUMIF($A$2:$A$1594,A286,$D$2:$D$1594)</f>
        <v/>
      </c>
    </row>
    <row r="287">
      <c r="A287" t="inlineStr">
        <is>
          <t>Loehr, Caitlin</t>
        </is>
      </c>
      <c r="B287" t="inlineStr">
        <is>
          <t>CORE-Ebola</t>
        </is>
      </c>
      <c r="C287" t="inlineStr">
        <is>
          <t>E1</t>
        </is>
      </c>
      <c r="D287" t="n">
        <v>6</v>
      </c>
      <c r="E287" t="inlineStr">
        <is>
          <t>Senior Tech Advisor - Digital</t>
        </is>
      </c>
      <c r="F287">
        <f>SUMIF($A$2:$A$1594,A287,$D$2:$D$1594)</f>
        <v/>
      </c>
    </row>
    <row r="288">
      <c r="A288" t="inlineStr">
        <is>
          <t>Loehr, Caitlin</t>
        </is>
      </c>
      <c r="B288" t="inlineStr">
        <is>
          <t>CORE-Ebola</t>
        </is>
      </c>
      <c r="C288" t="inlineStr">
        <is>
          <t>E2</t>
        </is>
      </c>
      <c r="D288" t="n">
        <v>5</v>
      </c>
      <c r="E288" t="inlineStr">
        <is>
          <t>Senior Tech Advisor - Digital</t>
        </is>
      </c>
      <c r="F288">
        <f>SUMIF($A$2:$A$1594,A288,$D$2:$D$1594)</f>
        <v/>
      </c>
    </row>
    <row r="289">
      <c r="A289" t="inlineStr">
        <is>
          <t>Loehr, Caitlin</t>
        </is>
      </c>
      <c r="B289" t="inlineStr">
        <is>
          <t>CORE-Ebola</t>
        </is>
      </c>
      <c r="C289" t="inlineStr">
        <is>
          <t>E3</t>
        </is>
      </c>
      <c r="D289" t="n">
        <v>4</v>
      </c>
      <c r="E289" t="inlineStr">
        <is>
          <t>Senior Tech Advisor - Digital</t>
        </is>
      </c>
      <c r="F289">
        <f>SUMIF($A$2:$A$1594,A289,$D$2:$D$1594)</f>
        <v/>
      </c>
    </row>
    <row r="290">
      <c r="A290" t="inlineStr">
        <is>
          <t>Judice, Nicole</t>
        </is>
      </c>
      <c r="B290" t="inlineStr">
        <is>
          <t>CORE-Ebola</t>
        </is>
      </c>
      <c r="C290" t="inlineStr">
        <is>
          <t>T1.4</t>
        </is>
      </c>
      <c r="D290" t="n">
        <v>14</v>
      </c>
      <c r="E290" t="inlineStr">
        <is>
          <t xml:space="preserve">Director Pool </t>
        </is>
      </c>
      <c r="F290">
        <f>SUMIF($A$2:$A$1594,A290,$D$2:$D$1594)</f>
        <v/>
      </c>
    </row>
    <row r="291">
      <c r="A291" t="inlineStr">
        <is>
          <t>Judice, Nicole</t>
        </is>
      </c>
      <c r="B291" t="inlineStr">
        <is>
          <t>CORE-Ebola</t>
        </is>
      </c>
      <c r="C291" t="inlineStr">
        <is>
          <t>E1</t>
        </is>
      </c>
      <c r="D291" t="n">
        <v>11</v>
      </c>
      <c r="E291" t="inlineStr">
        <is>
          <t xml:space="preserve">Director Pool </t>
        </is>
      </c>
      <c r="F291">
        <f>SUMIF($A$2:$A$1594,A291,$D$2:$D$1594)</f>
        <v/>
      </c>
    </row>
    <row r="292">
      <c r="A292" t="inlineStr">
        <is>
          <t>Judice, Nicole</t>
        </is>
      </c>
      <c r="B292" t="inlineStr">
        <is>
          <t>CORE-Ebola</t>
        </is>
      </c>
      <c r="C292" t="inlineStr">
        <is>
          <t>E2</t>
        </is>
      </c>
      <c r="D292" t="n">
        <v>12</v>
      </c>
      <c r="E292" t="inlineStr">
        <is>
          <t xml:space="preserve">Director Pool </t>
        </is>
      </c>
      <c r="F292">
        <f>SUMIF($A$2:$A$1594,A292,$D$2:$D$1594)</f>
        <v/>
      </c>
    </row>
    <row r="293">
      <c r="A293" t="inlineStr">
        <is>
          <t>Judice, Nicole</t>
        </is>
      </c>
      <c r="B293" t="inlineStr">
        <is>
          <t>CORE-Ebola</t>
        </is>
      </c>
      <c r="C293" t="inlineStr">
        <is>
          <t>E3</t>
        </is>
      </c>
      <c r="D293" t="n">
        <v>5</v>
      </c>
      <c r="E293" t="inlineStr">
        <is>
          <t xml:space="preserve">Director Pool </t>
        </is>
      </c>
      <c r="F293">
        <f>SUMIF($A$2:$A$1594,A293,$D$2:$D$1594)</f>
        <v/>
      </c>
    </row>
    <row r="294">
      <c r="A294" t="inlineStr">
        <is>
          <t>Mahoro, Virgile</t>
        </is>
      </c>
      <c r="B294" t="inlineStr">
        <is>
          <t>CORE-Ebola</t>
        </is>
      </c>
      <c r="C294" t="inlineStr">
        <is>
          <t>T1.4</t>
        </is>
      </c>
      <c r="D294" t="n">
        <v>20</v>
      </c>
      <c r="E294" t="inlineStr">
        <is>
          <t>Associate Pool</t>
        </is>
      </c>
      <c r="F294">
        <f>SUMIF($A$2:$A$1594,A294,$D$2:$D$1594)</f>
        <v/>
      </c>
    </row>
    <row r="295">
      <c r="A295" t="inlineStr">
        <is>
          <t>Mahoro, Virgile</t>
        </is>
      </c>
      <c r="B295" t="inlineStr">
        <is>
          <t>CORE-Ebola</t>
        </is>
      </c>
      <c r="C295" t="inlineStr">
        <is>
          <t>E1</t>
        </is>
      </c>
      <c r="D295" t="n">
        <v>20</v>
      </c>
      <c r="E295" t="inlineStr">
        <is>
          <t>Associate Pool</t>
        </is>
      </c>
      <c r="F295">
        <f>SUMIF($A$2:$A$1594,A295,$D$2:$D$1594)</f>
        <v/>
      </c>
    </row>
    <row r="296">
      <c r="A296" t="inlineStr">
        <is>
          <t>Mahoro, Virgile</t>
        </is>
      </c>
      <c r="B296" t="inlineStr">
        <is>
          <t>CORE-Ebola</t>
        </is>
      </c>
      <c r="C296" t="inlineStr">
        <is>
          <t>E2</t>
        </is>
      </c>
      <c r="D296" t="n">
        <v>20</v>
      </c>
      <c r="E296" t="inlineStr">
        <is>
          <t>Associate Pool</t>
        </is>
      </c>
      <c r="F296">
        <f>SUMIF($A$2:$A$1594,A296,$D$2:$D$1594)</f>
        <v/>
      </c>
    </row>
    <row r="297">
      <c r="A297" t="inlineStr">
        <is>
          <t>Mahoro, Virgile</t>
        </is>
      </c>
      <c r="B297" t="inlineStr">
        <is>
          <t>CORE-Ebola</t>
        </is>
      </c>
      <c r="C297" t="inlineStr">
        <is>
          <t>E3</t>
        </is>
      </c>
      <c r="D297" t="n">
        <v>20</v>
      </c>
      <c r="E297" t="inlineStr">
        <is>
          <t>Associate Pool</t>
        </is>
      </c>
      <c r="F297">
        <f>SUMIF($A$2:$A$1594,A297,$D$2:$D$1594)</f>
        <v/>
      </c>
    </row>
    <row r="298">
      <c r="A298" t="inlineStr">
        <is>
          <t>Berihun, Tewodros</t>
        </is>
      </c>
      <c r="B298" t="inlineStr">
        <is>
          <t>CORE-Ebola</t>
        </is>
      </c>
      <c r="C298" t="inlineStr">
        <is>
          <t>T1.4</t>
        </is>
      </c>
      <c r="D298" t="n">
        <v>12</v>
      </c>
      <c r="E298" t="inlineStr">
        <is>
          <t>Senior Data Scientist</t>
        </is>
      </c>
      <c r="F298">
        <f>SUMIF($A$2:$A$1594,A298,$D$2:$D$1594)</f>
        <v/>
      </c>
    </row>
    <row r="299">
      <c r="A299" t="inlineStr">
        <is>
          <t>Berihun, Tewodros</t>
        </is>
      </c>
      <c r="B299" t="inlineStr">
        <is>
          <t>CORE-Ebola</t>
        </is>
      </c>
      <c r="C299" t="inlineStr">
        <is>
          <t>E1</t>
        </is>
      </c>
      <c r="D299" t="n">
        <v>13</v>
      </c>
      <c r="E299" t="inlineStr">
        <is>
          <t>Senior Data Scientist</t>
        </is>
      </c>
      <c r="F299">
        <f>SUMIF($A$2:$A$1594,A299,$D$2:$D$1594)</f>
        <v/>
      </c>
    </row>
    <row r="300">
      <c r="A300" t="inlineStr">
        <is>
          <t>Berihun, Tewodros</t>
        </is>
      </c>
      <c r="B300" t="inlineStr">
        <is>
          <t>CORE-Ebola</t>
        </is>
      </c>
      <c r="C300" t="inlineStr">
        <is>
          <t>E2</t>
        </is>
      </c>
      <c r="D300" t="n">
        <v>13</v>
      </c>
      <c r="E300" t="inlineStr">
        <is>
          <t>Senior Data Scientist</t>
        </is>
      </c>
      <c r="F300">
        <f>SUMIF($A$2:$A$1594,A300,$D$2:$D$1594)</f>
        <v/>
      </c>
    </row>
    <row r="301">
      <c r="A301" t="inlineStr">
        <is>
          <t>Berihun, Tewodros</t>
        </is>
      </c>
      <c r="B301" t="inlineStr">
        <is>
          <t>CORE-Ebola</t>
        </is>
      </c>
      <c r="C301" t="inlineStr">
        <is>
          <t>E3</t>
        </is>
      </c>
      <c r="D301" t="n">
        <v>6</v>
      </c>
      <c r="E301" t="inlineStr">
        <is>
          <t>Senior Data Scientist</t>
        </is>
      </c>
      <c r="F301">
        <f>SUMIF($A$2:$A$1594,A301,$D$2:$D$1594)</f>
        <v/>
      </c>
    </row>
    <row r="302">
      <c r="A302" t="inlineStr">
        <is>
          <t>Saint Germain, Maya</t>
        </is>
      </c>
      <c r="B302" t="inlineStr">
        <is>
          <t>CORE-Ebola</t>
        </is>
      </c>
      <c r="C302" t="inlineStr">
        <is>
          <t>T1.4</t>
        </is>
      </c>
      <c r="D302" t="n">
        <v>15</v>
      </c>
      <c r="E302" t="inlineStr">
        <is>
          <t>Program Manager</t>
        </is>
      </c>
      <c r="F302">
        <f>SUMIF($A$2:$A$1594,A302,$D$2:$D$1594)</f>
        <v/>
      </c>
    </row>
    <row r="303">
      <c r="A303" t="inlineStr">
        <is>
          <t>Saint Germain, Maya</t>
        </is>
      </c>
      <c r="B303" t="inlineStr">
        <is>
          <t>CORE-Ebola</t>
        </is>
      </c>
      <c r="C303" t="inlineStr">
        <is>
          <t>E1</t>
        </is>
      </c>
      <c r="D303" t="n">
        <v>21</v>
      </c>
      <c r="E303" t="inlineStr">
        <is>
          <t>Program Manager</t>
        </is>
      </c>
      <c r="F303">
        <f>SUMIF($A$2:$A$1594,A303,$D$2:$D$1594)</f>
        <v/>
      </c>
    </row>
    <row r="304">
      <c r="A304" t="inlineStr">
        <is>
          <t>Saint Germain, Maya</t>
        </is>
      </c>
      <c r="B304" t="inlineStr">
        <is>
          <t>CORE-Ebola</t>
        </is>
      </c>
      <c r="C304" t="inlineStr">
        <is>
          <t>E2</t>
        </is>
      </c>
      <c r="D304" t="n">
        <v>20</v>
      </c>
      <c r="E304" t="inlineStr">
        <is>
          <t>Program Manager</t>
        </is>
      </c>
      <c r="F304">
        <f>SUMIF($A$2:$A$1594,A304,$D$2:$D$1594)</f>
        <v/>
      </c>
    </row>
    <row r="305">
      <c r="A305" t="inlineStr">
        <is>
          <t>Saint Germain, Maya</t>
        </is>
      </c>
      <c r="B305" t="inlineStr">
        <is>
          <t>CORE-Ebola</t>
        </is>
      </c>
      <c r="C305" t="inlineStr">
        <is>
          <t>E3</t>
        </is>
      </c>
      <c r="D305" t="n">
        <v>5</v>
      </c>
      <c r="E305" t="inlineStr">
        <is>
          <t>Program Manager</t>
        </is>
      </c>
      <c r="F305">
        <f>SUMIF($A$2:$A$1594,A305,$D$2:$D$1594)</f>
        <v/>
      </c>
    </row>
    <row r="306">
      <c r="A306" t="inlineStr">
        <is>
          <t>DiVenanzo, Lauren</t>
        </is>
      </c>
      <c r="B306" t="inlineStr">
        <is>
          <t>CORE-Ebola</t>
        </is>
      </c>
      <c r="C306" t="inlineStr">
        <is>
          <t>T1.4</t>
        </is>
      </c>
      <c r="D306" t="n">
        <v>15</v>
      </c>
      <c r="E306" t="inlineStr">
        <is>
          <t>Senior Tech Advisor - Digital</t>
        </is>
      </c>
      <c r="F306">
        <f>SUMIF($A$2:$A$1594,A306,$D$2:$D$1594)</f>
        <v/>
      </c>
    </row>
    <row r="307">
      <c r="A307" t="inlineStr">
        <is>
          <t>DiVenanzo, Lauren</t>
        </is>
      </c>
      <c r="B307" t="inlineStr">
        <is>
          <t>CORE-Ebola</t>
        </is>
      </c>
      <c r="C307" t="inlineStr">
        <is>
          <t>E1</t>
        </is>
      </c>
      <c r="D307" t="n">
        <v>21</v>
      </c>
      <c r="E307" t="inlineStr">
        <is>
          <t>Senior Tech Advisor - Digital</t>
        </is>
      </c>
      <c r="F307">
        <f>SUMIF($A$2:$A$1594,A307,$D$2:$D$1594)</f>
        <v/>
      </c>
    </row>
    <row r="308">
      <c r="A308" t="inlineStr">
        <is>
          <t>DiVenanzo, Lauren</t>
        </is>
      </c>
      <c r="B308" t="inlineStr">
        <is>
          <t>CORE-Ebola</t>
        </is>
      </c>
      <c r="C308" t="inlineStr">
        <is>
          <t>E2</t>
        </is>
      </c>
      <c r="D308" t="n">
        <v>20</v>
      </c>
      <c r="E308" t="inlineStr">
        <is>
          <t>Senior Tech Advisor - Digital</t>
        </is>
      </c>
      <c r="F308">
        <f>SUMIF($A$2:$A$1594,A308,$D$2:$D$1594)</f>
        <v/>
      </c>
    </row>
    <row r="309">
      <c r="A309" t="inlineStr">
        <is>
          <t>DiVenanzo, Lauren</t>
        </is>
      </c>
      <c r="B309" t="inlineStr">
        <is>
          <t>CORE-Ebola</t>
        </is>
      </c>
      <c r="C309" t="inlineStr">
        <is>
          <t>E3</t>
        </is>
      </c>
      <c r="D309" t="n">
        <v>5</v>
      </c>
      <c r="E309" t="inlineStr">
        <is>
          <t>Senior Tech Advisor - Digital</t>
        </is>
      </c>
      <c r="F309">
        <f>SUMIF($A$2:$A$1594,A309,$D$2:$D$1594)</f>
        <v/>
      </c>
    </row>
    <row r="310">
      <c r="A310" t="inlineStr">
        <is>
          <t>Cavanaugh, Clint</t>
        </is>
      </c>
      <c r="B310" t="inlineStr">
        <is>
          <t>CORE-Ebola</t>
        </is>
      </c>
      <c r="C310" t="inlineStr">
        <is>
          <t>T1.4</t>
        </is>
      </c>
      <c r="D310" t="n">
        <v>3</v>
      </c>
      <c r="E310" t="inlineStr">
        <is>
          <t>Senior Health Director</t>
        </is>
      </c>
      <c r="F310">
        <f>SUMIF($A$2:$A$1594,A310,$D$2:$D$1594)</f>
        <v/>
      </c>
    </row>
    <row r="311">
      <c r="A311" t="inlineStr">
        <is>
          <t>Cavanaugh, Clint</t>
        </is>
      </c>
      <c r="B311" t="inlineStr">
        <is>
          <t>CORE-Ebola</t>
        </is>
      </c>
      <c r="C311" t="inlineStr">
        <is>
          <t>E1</t>
        </is>
      </c>
      <c r="D311" t="n">
        <v>2</v>
      </c>
      <c r="E311" t="inlineStr">
        <is>
          <t>Senior Health Director</t>
        </is>
      </c>
      <c r="F311">
        <f>SUMIF($A$2:$A$1594,A311,$D$2:$D$1594)</f>
        <v/>
      </c>
    </row>
    <row r="312">
      <c r="A312" t="inlineStr">
        <is>
          <t>Cavanaugh, Clint</t>
        </is>
      </c>
      <c r="B312" t="inlineStr">
        <is>
          <t>CORE-Ebola</t>
        </is>
      </c>
      <c r="C312" t="inlineStr">
        <is>
          <t>E2</t>
        </is>
      </c>
      <c r="D312" t="n">
        <v>2</v>
      </c>
      <c r="E312" t="inlineStr">
        <is>
          <t>Senior Health Director</t>
        </is>
      </c>
      <c r="F312">
        <f>SUMIF($A$2:$A$1594,A312,$D$2:$D$1594)</f>
        <v/>
      </c>
    </row>
    <row r="313">
      <c r="A313" t="inlineStr">
        <is>
          <t>Cavanaugh, Clint</t>
        </is>
      </c>
      <c r="B313" t="inlineStr">
        <is>
          <t>CORE-Ebola</t>
        </is>
      </c>
      <c r="C313" t="inlineStr">
        <is>
          <t>E3</t>
        </is>
      </c>
      <c r="D313" t="n">
        <v>2</v>
      </c>
      <c r="E313" t="inlineStr">
        <is>
          <t>Senior Health Director</t>
        </is>
      </c>
      <c r="F313">
        <f>SUMIF($A$2:$A$1594,A313,$D$2:$D$1594)</f>
        <v/>
      </c>
    </row>
    <row r="314">
      <c r="A314" t="inlineStr">
        <is>
          <t>Mathias, John</t>
        </is>
      </c>
      <c r="B314" t="inlineStr">
        <is>
          <t>CORE-Ebola</t>
        </is>
      </c>
      <c r="C314" t="inlineStr">
        <is>
          <t>T1.4</t>
        </is>
      </c>
      <c r="D314" t="n">
        <v>9</v>
      </c>
      <c r="E314" t="inlineStr">
        <is>
          <t>Operations Director</t>
        </is>
      </c>
      <c r="F314">
        <f>SUMIF($A$2:$A$1594,A314,$D$2:$D$1594)</f>
        <v/>
      </c>
    </row>
    <row r="315">
      <c r="A315" t="inlineStr">
        <is>
          <t>Mathias, John</t>
        </is>
      </c>
      <c r="B315" t="inlineStr">
        <is>
          <t>CORE-Ebola</t>
        </is>
      </c>
      <c r="C315" t="inlineStr">
        <is>
          <t>E1</t>
        </is>
      </c>
      <c r="D315" t="n">
        <v>6</v>
      </c>
      <c r="E315" t="inlineStr">
        <is>
          <t>Operations Director</t>
        </is>
      </c>
      <c r="F315">
        <f>SUMIF($A$2:$A$1594,A315,$D$2:$D$1594)</f>
        <v/>
      </c>
    </row>
    <row r="316">
      <c r="A316" t="inlineStr">
        <is>
          <t>Mathias, John</t>
        </is>
      </c>
      <c r="B316" t="inlineStr">
        <is>
          <t>CORE-Ebola</t>
        </is>
      </c>
      <c r="C316" t="inlineStr">
        <is>
          <t>E2</t>
        </is>
      </c>
      <c r="D316" t="n">
        <v>6</v>
      </c>
      <c r="E316" t="inlineStr">
        <is>
          <t>Operations Director</t>
        </is>
      </c>
      <c r="F316">
        <f>SUMIF($A$2:$A$1594,A316,$D$2:$D$1594)</f>
        <v/>
      </c>
    </row>
    <row r="317">
      <c r="A317" t="inlineStr">
        <is>
          <t>Mathias, John</t>
        </is>
      </c>
      <c r="B317" t="inlineStr">
        <is>
          <t>CORE-Ebola</t>
        </is>
      </c>
      <c r="C317" t="inlineStr">
        <is>
          <t>E3</t>
        </is>
      </c>
      <c r="D317" t="n">
        <v>3</v>
      </c>
      <c r="E317" t="inlineStr">
        <is>
          <t>Operations Director</t>
        </is>
      </c>
      <c r="F317">
        <f>SUMIF($A$2:$A$1594,A317,$D$2:$D$1594)</f>
        <v/>
      </c>
    </row>
    <row r="318">
      <c r="A318" t="inlineStr">
        <is>
          <t>Misomali, Mark</t>
        </is>
      </c>
      <c r="B318" t="inlineStr">
        <is>
          <t>CORE-Ebola</t>
        </is>
      </c>
      <c r="C318" t="inlineStr">
        <is>
          <t>T1.4</t>
        </is>
      </c>
      <c r="D318" t="n">
        <v>8</v>
      </c>
      <c r="E318" t="inlineStr">
        <is>
          <t xml:space="preserve">Operations Sr Finance Manager   </t>
        </is>
      </c>
      <c r="F318">
        <f>SUMIF($A$2:$A$1594,A318,$D$2:$D$1594)</f>
        <v/>
      </c>
    </row>
    <row r="319">
      <c r="A319" t="inlineStr">
        <is>
          <t>Misomali, Mark</t>
        </is>
      </c>
      <c r="B319" t="inlineStr">
        <is>
          <t>CORE-Ebola</t>
        </is>
      </c>
      <c r="C319" t="inlineStr">
        <is>
          <t>E1</t>
        </is>
      </c>
      <c r="D319" t="n">
        <v>6</v>
      </c>
      <c r="E319" t="inlineStr">
        <is>
          <t xml:space="preserve">Operations Sr Finance Manager   </t>
        </is>
      </c>
      <c r="F319">
        <f>SUMIF($A$2:$A$1594,A319,$D$2:$D$1594)</f>
        <v/>
      </c>
    </row>
    <row r="320">
      <c r="A320" t="inlineStr">
        <is>
          <t>Misomali, Mark</t>
        </is>
      </c>
      <c r="B320" t="inlineStr">
        <is>
          <t>CORE-Ebola</t>
        </is>
      </c>
      <c r="C320" t="inlineStr">
        <is>
          <t>E2</t>
        </is>
      </c>
      <c r="D320" t="n">
        <v>9</v>
      </c>
      <c r="E320" t="inlineStr">
        <is>
          <t xml:space="preserve">Operations Sr Finance Manager   </t>
        </is>
      </c>
      <c r="F320">
        <f>SUMIF($A$2:$A$1594,A320,$D$2:$D$1594)</f>
        <v/>
      </c>
    </row>
    <row r="321">
      <c r="A321" t="inlineStr">
        <is>
          <t>Misomali, Mark</t>
        </is>
      </c>
      <c r="B321" t="inlineStr">
        <is>
          <t>CORE-Ebola</t>
        </is>
      </c>
      <c r="C321" t="inlineStr">
        <is>
          <t>E3</t>
        </is>
      </c>
      <c r="D321" t="n">
        <v>1</v>
      </c>
      <c r="E321" t="inlineStr">
        <is>
          <t xml:space="preserve">Operations Sr Finance Manager   </t>
        </is>
      </c>
      <c r="F321">
        <f>SUMIF($A$2:$A$1594,A321,$D$2:$D$1594)</f>
        <v/>
      </c>
    </row>
    <row r="322">
      <c r="A322" t="inlineStr">
        <is>
          <t>Noorzai, Mahmood</t>
        </is>
      </c>
      <c r="B322" t="inlineStr">
        <is>
          <t>CORE-Ebola</t>
        </is>
      </c>
      <c r="C322" t="inlineStr">
        <is>
          <t>T1.4</t>
        </is>
      </c>
      <c r="D322" t="n">
        <v>8</v>
      </c>
      <c r="E322" t="inlineStr">
        <is>
          <t>Operations Finance Associate</t>
        </is>
      </c>
      <c r="F322">
        <f>SUMIF($A$2:$A$1594,A322,$D$2:$D$1594)</f>
        <v/>
      </c>
    </row>
    <row r="323">
      <c r="A323" t="inlineStr">
        <is>
          <t>Noorzai, Mahmood</t>
        </is>
      </c>
      <c r="B323" t="inlineStr">
        <is>
          <t>CORE-Ebola</t>
        </is>
      </c>
      <c r="C323" t="inlineStr">
        <is>
          <t>E1</t>
        </is>
      </c>
      <c r="D323" t="n">
        <v>6</v>
      </c>
      <c r="E323" t="inlineStr">
        <is>
          <t>Operations Finance Associate</t>
        </is>
      </c>
      <c r="F323">
        <f>SUMIF($A$2:$A$1594,A323,$D$2:$D$1594)</f>
        <v/>
      </c>
    </row>
    <row r="324">
      <c r="A324" t="inlineStr">
        <is>
          <t>Noorzai, Mahmood</t>
        </is>
      </c>
      <c r="B324" t="inlineStr">
        <is>
          <t>CORE-Ebola</t>
        </is>
      </c>
      <c r="C324" t="inlineStr">
        <is>
          <t>E2</t>
        </is>
      </c>
      <c r="D324" t="n">
        <v>9</v>
      </c>
      <c r="E324" t="inlineStr">
        <is>
          <t>Operations Finance Associate</t>
        </is>
      </c>
      <c r="F324">
        <f>SUMIF($A$2:$A$1594,A324,$D$2:$D$1594)</f>
        <v/>
      </c>
    </row>
    <row r="325">
      <c r="A325" t="inlineStr">
        <is>
          <t>Noorzai, Mahmood</t>
        </is>
      </c>
      <c r="B325" t="inlineStr">
        <is>
          <t>CORE-Ebola</t>
        </is>
      </c>
      <c r="C325" t="inlineStr">
        <is>
          <t>E3</t>
        </is>
      </c>
      <c r="D325" t="n">
        <v>1</v>
      </c>
      <c r="E325" t="inlineStr">
        <is>
          <t>Operations Finance Associate</t>
        </is>
      </c>
      <c r="F325">
        <f>SUMIF($A$2:$A$1594,A325,$D$2:$D$1594)</f>
        <v/>
      </c>
    </row>
    <row r="326">
      <c r="A326" t="inlineStr">
        <is>
          <t>Cisse, Carol</t>
        </is>
      </c>
      <c r="B326" t="inlineStr">
        <is>
          <t>CORE-Ebola</t>
        </is>
      </c>
      <c r="C326" t="inlineStr">
        <is>
          <t>T1.4</t>
        </is>
      </c>
      <c r="D326" t="n">
        <v>20</v>
      </c>
      <c r="E326" t="inlineStr">
        <is>
          <t>Operations Senior Manager Pool-17</t>
        </is>
      </c>
      <c r="F326">
        <f>SUMIF($A$2:$A$1594,A326,$D$2:$D$1594)</f>
        <v/>
      </c>
    </row>
    <row r="327">
      <c r="A327" t="inlineStr">
        <is>
          <t>Cisse, Carol</t>
        </is>
      </c>
      <c r="B327" t="inlineStr">
        <is>
          <t>CORE-Ebola</t>
        </is>
      </c>
      <c r="C327" t="inlineStr">
        <is>
          <t>E1</t>
        </is>
      </c>
      <c r="D327" t="n">
        <v>20</v>
      </c>
      <c r="E327" t="inlineStr">
        <is>
          <t>Operations Senior Manager Pool-17</t>
        </is>
      </c>
      <c r="F327">
        <f>SUMIF($A$2:$A$1594,A327,$D$2:$D$1594)</f>
        <v/>
      </c>
    </row>
    <row r="328">
      <c r="A328" t="inlineStr">
        <is>
          <t>Cisse, Carol</t>
        </is>
      </c>
      <c r="B328" t="inlineStr">
        <is>
          <t>CORE-Ebola</t>
        </is>
      </c>
      <c r="C328" t="inlineStr">
        <is>
          <t>E2</t>
        </is>
      </c>
      <c r="D328" t="n">
        <v>20</v>
      </c>
      <c r="E328" t="inlineStr">
        <is>
          <t>Operations Senior Manager Pool-17</t>
        </is>
      </c>
      <c r="F328">
        <f>SUMIF($A$2:$A$1594,A328,$D$2:$D$1594)</f>
        <v/>
      </c>
    </row>
    <row r="329">
      <c r="A329" t="inlineStr">
        <is>
          <t>Cisse, Carol</t>
        </is>
      </c>
      <c r="B329" t="inlineStr">
        <is>
          <t>CORE-Ebola</t>
        </is>
      </c>
      <c r="C329" t="inlineStr">
        <is>
          <t>E3</t>
        </is>
      </c>
      <c r="D329" t="n">
        <v>20</v>
      </c>
      <c r="E329" t="inlineStr">
        <is>
          <t>Operations Senior Manager Pool-17</t>
        </is>
      </c>
      <c r="F329">
        <f>SUMIF($A$2:$A$1594,A329,$D$2:$D$1594)</f>
        <v/>
      </c>
    </row>
    <row r="330">
      <c r="A330" t="inlineStr">
        <is>
          <t>Mensah, Margaret</t>
        </is>
      </c>
      <c r="B330" t="inlineStr">
        <is>
          <t>CORE G2G</t>
        </is>
      </c>
      <c r="C330" t="inlineStr">
        <is>
          <t>T1.5</t>
        </is>
      </c>
      <c r="D330" t="n">
        <v>4.2372</v>
      </c>
      <c r="E330" t="inlineStr">
        <is>
          <t>KP - Finance Director</t>
        </is>
      </c>
      <c r="F330">
        <f>SUMIF($A$2:$A$1594,A330,$D$2:$D$1594)</f>
        <v/>
      </c>
    </row>
    <row r="331">
      <c r="A331" t="inlineStr">
        <is>
          <t>Sharma, Suneeta</t>
        </is>
      </c>
      <c r="B331" t="inlineStr">
        <is>
          <t>CORE G2G</t>
        </is>
      </c>
      <c r="C331" t="inlineStr">
        <is>
          <t>T1.5</t>
        </is>
      </c>
      <c r="D331" t="n">
        <v>14.6276</v>
      </c>
      <c r="E331" t="inlineStr">
        <is>
          <t>Objective 4 Co-Lead - 50% across T1.5, SL</t>
        </is>
      </c>
      <c r="F331">
        <f>SUMIF($A$2:$A$1594,A331,$D$2:$D$1594)</f>
        <v/>
      </c>
    </row>
    <row r="332">
      <c r="A332" t="inlineStr">
        <is>
          <t>Showalter, Caitlin</t>
        </is>
      </c>
      <c r="B332" t="inlineStr">
        <is>
          <t>CORE G2G</t>
        </is>
      </c>
      <c r="C332" t="inlineStr">
        <is>
          <t>T1.5</t>
        </is>
      </c>
      <c r="D332" t="n">
        <v>4.0303</v>
      </c>
      <c r="E332" t="inlineStr">
        <is>
          <t>M&amp;E and Learning</t>
        </is>
      </c>
      <c r="F332">
        <f>SUMIF($A$2:$A$1594,A332,$D$2:$D$1594)</f>
        <v/>
      </c>
    </row>
    <row r="333">
      <c r="A333" t="inlineStr">
        <is>
          <t>Claussen, Laurence</t>
        </is>
      </c>
      <c r="B333" t="inlineStr">
        <is>
          <t>CORE G2G</t>
        </is>
      </c>
      <c r="C333" t="inlineStr">
        <is>
          <t>T1.5</t>
        </is>
      </c>
      <c r="D333" t="n">
        <v>4.053</v>
      </c>
      <c r="E333" t="inlineStr">
        <is>
          <t>Comms Manager</t>
        </is>
      </c>
      <c r="F333">
        <f>SUMIF($A$2:$A$1594,A333,$D$2:$D$1594)</f>
        <v/>
      </c>
    </row>
    <row r="334">
      <c r="A334" t="inlineStr">
        <is>
          <t>Clanton, Kaley</t>
        </is>
      </c>
      <c r="B334" t="inlineStr">
        <is>
          <t>CORE G2G</t>
        </is>
      </c>
      <c r="C334" t="inlineStr">
        <is>
          <t>T1.5</t>
        </is>
      </c>
      <c r="D334" t="n">
        <v>10.5931</v>
      </c>
      <c r="E334" t="inlineStr">
        <is>
          <t>Associate Pool</t>
        </is>
      </c>
      <c r="F334">
        <f>SUMIF($A$2:$A$1594,A334,$D$2:$D$1594)</f>
        <v/>
      </c>
    </row>
    <row r="335">
      <c r="A335" t="inlineStr">
        <is>
          <t>Mathias, John</t>
        </is>
      </c>
      <c r="B335" t="inlineStr">
        <is>
          <t>CORE G2G</t>
        </is>
      </c>
      <c r="C335" t="inlineStr">
        <is>
          <t>T1.5</t>
        </is>
      </c>
      <c r="D335" t="n">
        <v>4.0991</v>
      </c>
      <c r="E335" t="inlineStr">
        <is>
          <t>Operations Director</t>
        </is>
      </c>
      <c r="F335">
        <f>SUMIF($A$2:$A$1594,A335,$D$2:$D$1594)</f>
        <v/>
      </c>
    </row>
    <row r="336">
      <c r="A336" t="inlineStr">
        <is>
          <t>Misomali, Mark</t>
        </is>
      </c>
      <c r="B336" t="inlineStr">
        <is>
          <t>CORE G2G</t>
        </is>
      </c>
      <c r="C336" t="inlineStr">
        <is>
          <t>T1.5</t>
        </is>
      </c>
      <c r="D336" t="n">
        <v>4.0991</v>
      </c>
      <c r="E336" t="inlineStr">
        <is>
          <t xml:space="preserve">Operations Sr Finance Manager   </t>
        </is>
      </c>
      <c r="F336">
        <f>SUMIF($A$2:$A$1594,A336,$D$2:$D$1594)</f>
        <v/>
      </c>
    </row>
    <row r="337">
      <c r="A337" t="inlineStr">
        <is>
          <t>Noorzai, Mahmood</t>
        </is>
      </c>
      <c r="B337" t="inlineStr">
        <is>
          <t>CORE G2G</t>
        </is>
      </c>
      <c r="C337" t="inlineStr">
        <is>
          <t>T1.5</t>
        </is>
      </c>
      <c r="D337" t="n">
        <v>4.0991</v>
      </c>
      <c r="E337" t="inlineStr">
        <is>
          <t>Operations Finance Associate</t>
        </is>
      </c>
      <c r="F337">
        <f>SUMIF($A$2:$A$1594,A337,$D$2:$D$1594)</f>
        <v/>
      </c>
    </row>
    <row r="338">
      <c r="A338" t="inlineStr">
        <is>
          <t>Bradford, Stephanie</t>
        </is>
      </c>
      <c r="B338" t="inlineStr">
        <is>
          <t>CORE G2G</t>
        </is>
      </c>
      <c r="C338" t="inlineStr">
        <is>
          <t>T1.5</t>
        </is>
      </c>
      <c r="D338" t="n">
        <v>14.511</v>
      </c>
      <c r="E338" t="inlineStr">
        <is>
          <t>Operations Senior Manager Pool-17</t>
        </is>
      </c>
      <c r="F338">
        <f>SUMIF($A$2:$A$1594,A338,$D$2:$D$1594)</f>
        <v/>
      </c>
    </row>
    <row r="339">
      <c r="A339" t="inlineStr">
        <is>
          <t>Nabeel, Shayan</t>
        </is>
      </c>
      <c r="B339" t="inlineStr">
        <is>
          <t>CORE G2G</t>
        </is>
      </c>
      <c r="C339" t="inlineStr">
        <is>
          <t>T1.5</t>
        </is>
      </c>
      <c r="D339" t="n">
        <v>6.3091</v>
      </c>
      <c r="E339" t="inlineStr">
        <is>
          <t>Operations Manager level - 16</t>
        </is>
      </c>
      <c r="F339">
        <f>SUMIF($A$2:$A$1594,A339,$D$2:$D$1594)</f>
        <v/>
      </c>
    </row>
    <row r="340">
      <c r="A340" t="inlineStr">
        <is>
          <t>Mawandia, Shreshth</t>
        </is>
      </c>
      <c r="B340" t="inlineStr">
        <is>
          <t>CORE-HIC</t>
        </is>
      </c>
      <c r="C340" t="inlineStr">
        <is>
          <t>C1a</t>
        </is>
      </c>
      <c r="D340" t="n">
        <v>6.1055</v>
      </c>
      <c r="E340" t="inlineStr">
        <is>
          <t>KP - Project Director</t>
        </is>
      </c>
      <c r="F340">
        <f>SUMIF($A$2:$A$1594,A340,$D$2:$D$1594)</f>
        <v/>
      </c>
    </row>
    <row r="341">
      <c r="A341" t="inlineStr">
        <is>
          <t>Mawandia, Shreshth</t>
        </is>
      </c>
      <c r="B341" t="inlineStr">
        <is>
          <t>CORE-HIC</t>
        </is>
      </c>
      <c r="C341" t="inlineStr">
        <is>
          <t>C1b</t>
        </is>
      </c>
      <c r="D341" t="n">
        <v>7.4622</v>
      </c>
      <c r="E341" t="inlineStr">
        <is>
          <t>KP - Project Director</t>
        </is>
      </c>
      <c r="F341">
        <f>SUMIF($A$2:$A$1594,A341,$D$2:$D$1594)</f>
        <v/>
      </c>
    </row>
    <row r="342">
      <c r="A342" t="inlineStr">
        <is>
          <t>Nigussie, Netsanet</t>
        </is>
      </c>
      <c r="B342" t="inlineStr">
        <is>
          <t>CORE-HIC</t>
        </is>
      </c>
      <c r="C342" t="inlineStr">
        <is>
          <t>C1a</t>
        </is>
      </c>
      <c r="D342" t="n">
        <v>6.1055</v>
      </c>
      <c r="E342" t="inlineStr">
        <is>
          <t>KP - Technical Director</t>
        </is>
      </c>
      <c r="F342">
        <f>SUMIF($A$2:$A$1594,A342,$D$2:$D$1594)</f>
        <v/>
      </c>
    </row>
    <row r="343">
      <c r="A343" t="inlineStr">
        <is>
          <t>Nigussie, Netsanet</t>
        </is>
      </c>
      <c r="B343" t="inlineStr">
        <is>
          <t>CORE-HIC</t>
        </is>
      </c>
      <c r="C343" t="inlineStr">
        <is>
          <t>C1b</t>
        </is>
      </c>
      <c r="D343" t="n">
        <v>7.4622</v>
      </c>
      <c r="E343" t="inlineStr">
        <is>
          <t>KP - Technical Director</t>
        </is>
      </c>
      <c r="F343">
        <f>SUMIF($A$2:$A$1594,A343,$D$2:$D$1594)</f>
        <v/>
      </c>
    </row>
    <row r="344">
      <c r="A344" t="inlineStr">
        <is>
          <t>Mensah, Margaret</t>
        </is>
      </c>
      <c r="B344" t="inlineStr">
        <is>
          <t>CORE-HIC</t>
        </is>
      </c>
      <c r="C344" t="inlineStr">
        <is>
          <t>C1a</t>
        </is>
      </c>
      <c r="D344" t="n">
        <v>4.5245</v>
      </c>
      <c r="E344" t="inlineStr">
        <is>
          <t>KP - Finance Director</t>
        </is>
      </c>
      <c r="F344">
        <f>SUMIF($A$2:$A$1594,A344,$D$2:$D$1594)</f>
        <v/>
      </c>
    </row>
    <row r="345">
      <c r="A345" t="inlineStr">
        <is>
          <t>Mensah, Margaret</t>
        </is>
      </c>
      <c r="B345" t="inlineStr">
        <is>
          <t>CORE-HIC</t>
        </is>
      </c>
      <c r="C345" t="inlineStr">
        <is>
          <t>C1b</t>
        </is>
      </c>
      <c r="D345" t="n">
        <v>3.4043</v>
      </c>
      <c r="E345" t="inlineStr">
        <is>
          <t>KP - Finance Director</t>
        </is>
      </c>
      <c r="F345">
        <f>SUMIF($A$2:$A$1594,A345,$D$2:$D$1594)</f>
        <v/>
      </c>
    </row>
    <row r="346">
      <c r="A346" t="inlineStr">
        <is>
          <t>Sharma, Suneeta</t>
        </is>
      </c>
      <c r="B346" t="inlineStr">
        <is>
          <t>CORE-HIC</t>
        </is>
      </c>
      <c r="C346" t="inlineStr">
        <is>
          <t>C1a</t>
        </is>
      </c>
      <c r="D346" t="n">
        <v>3.7597</v>
      </c>
      <c r="E346" t="inlineStr">
        <is>
          <t>Objective 4 Co-Lead - 50% across T1.5, SL</t>
        </is>
      </c>
      <c r="F346">
        <f>SUMIF($A$2:$A$1594,A346,$D$2:$D$1594)</f>
        <v/>
      </c>
    </row>
    <row r="347">
      <c r="A347" t="inlineStr">
        <is>
          <t>Sharma, Suneeta</t>
        </is>
      </c>
      <c r="B347" t="inlineStr">
        <is>
          <t>CORE-HIC</t>
        </is>
      </c>
      <c r="C347" t="inlineStr">
        <is>
          <t>C1b</t>
        </is>
      </c>
      <c r="D347" t="n">
        <v>11.2792</v>
      </c>
      <c r="E347" t="inlineStr">
        <is>
          <t>Objective 4 Co-Lead - 50% across T1.5, SL</t>
        </is>
      </c>
      <c r="F347">
        <f>SUMIF($A$2:$A$1594,A347,$D$2:$D$1594)</f>
        <v/>
      </c>
    </row>
    <row r="348">
      <c r="A348" t="inlineStr">
        <is>
          <t>Friedman, Jonathan</t>
        </is>
      </c>
      <c r="B348" t="inlineStr">
        <is>
          <t>CORE-HIC</t>
        </is>
      </c>
      <c r="C348" t="inlineStr">
        <is>
          <t>C1a</t>
        </is>
      </c>
      <c r="D348" t="n">
        <v>8</v>
      </c>
      <c r="E348" t="inlineStr">
        <is>
          <t>AI/ML Lead</t>
        </is>
      </c>
      <c r="F348">
        <f>SUMIF($A$2:$A$1594,A348,$D$2:$D$1594)</f>
        <v/>
      </c>
    </row>
    <row r="349">
      <c r="A349" t="inlineStr">
        <is>
          <t>Friedman, Jonathan</t>
        </is>
      </c>
      <c r="B349" t="inlineStr">
        <is>
          <t>CORE-HIC</t>
        </is>
      </c>
      <c r="C349" t="inlineStr">
        <is>
          <t>C1b</t>
        </is>
      </c>
      <c r="D349" t="n">
        <v>9.777799999999999</v>
      </c>
      <c r="E349" t="inlineStr">
        <is>
          <t>AI/ML Lead</t>
        </is>
      </c>
      <c r="F349">
        <f>SUMIF($A$2:$A$1594,A349,$D$2:$D$1594)</f>
        <v/>
      </c>
    </row>
    <row r="350">
      <c r="A350" t="inlineStr">
        <is>
          <t>Mavyuva, Boniface</t>
        </is>
      </c>
      <c r="B350" t="inlineStr">
        <is>
          <t>CORE-HIC</t>
        </is>
      </c>
      <c r="C350" t="inlineStr">
        <is>
          <t>C1a</t>
        </is>
      </c>
      <c r="D350" t="n">
        <v>18.9091</v>
      </c>
      <c r="E350" t="inlineStr">
        <is>
          <t>Dig Infrastructure Lead</t>
        </is>
      </c>
      <c r="F350">
        <f>SUMIF($A$2:$A$1594,A350,$D$2:$D$1594)</f>
        <v/>
      </c>
    </row>
    <row r="351">
      <c r="A351" t="inlineStr">
        <is>
          <t>Mavyuva, Boniface</t>
        </is>
      </c>
      <c r="B351" t="inlineStr">
        <is>
          <t>CORE-HIC</t>
        </is>
      </c>
      <c r="C351" t="inlineStr">
        <is>
          <t>C1b</t>
        </is>
      </c>
      <c r="D351" t="n">
        <v>23.1111</v>
      </c>
      <c r="E351" t="inlineStr">
        <is>
          <t>Dig Infrastructure Lead</t>
        </is>
      </c>
      <c r="F351">
        <f>SUMIF($A$2:$A$1594,A351,$D$2:$D$1594)</f>
        <v/>
      </c>
    </row>
    <row r="352">
      <c r="A352" t="inlineStr">
        <is>
          <t>Vargas Monzon, Julio</t>
        </is>
      </c>
      <c r="B352" t="inlineStr">
        <is>
          <t>CORE-HIC</t>
        </is>
      </c>
      <c r="C352" t="inlineStr">
        <is>
          <t>C1a</t>
        </is>
      </c>
      <c r="D352" t="n">
        <v>5.5745</v>
      </c>
      <c r="E352" t="inlineStr">
        <is>
          <t>Infosec Co-Lead</t>
        </is>
      </c>
      <c r="F352">
        <f>SUMIF($A$2:$A$1594,A352,$D$2:$D$1594)</f>
        <v/>
      </c>
    </row>
    <row r="353">
      <c r="A353" t="inlineStr">
        <is>
          <t>Vargas Monzon, Julio</t>
        </is>
      </c>
      <c r="B353" t="inlineStr">
        <is>
          <t>CORE-HIC</t>
        </is>
      </c>
      <c r="C353" t="inlineStr">
        <is>
          <t>C1b</t>
        </is>
      </c>
      <c r="D353" t="n">
        <v>6.8133</v>
      </c>
      <c r="E353" t="inlineStr">
        <is>
          <t>Infosec Co-Lead</t>
        </is>
      </c>
      <c r="F353">
        <f>SUMIF($A$2:$A$1594,A353,$D$2:$D$1594)</f>
        <v/>
      </c>
    </row>
    <row r="354">
      <c r="A354" t="inlineStr">
        <is>
          <t>Showalter, Caitlin</t>
        </is>
      </c>
      <c r="B354" t="inlineStr">
        <is>
          <t>CORE-HIC</t>
        </is>
      </c>
      <c r="C354" t="inlineStr">
        <is>
          <t>C1a</t>
        </is>
      </c>
      <c r="D354" t="n">
        <v>5.4409</v>
      </c>
      <c r="E354" t="inlineStr">
        <is>
          <t>M&amp;E and Learning</t>
        </is>
      </c>
      <c r="F354">
        <f>SUMIF($A$2:$A$1594,A354,$D$2:$D$1594)</f>
        <v/>
      </c>
    </row>
    <row r="355">
      <c r="A355" t="inlineStr">
        <is>
          <t>Showalter, Caitlin</t>
        </is>
      </c>
      <c r="B355" t="inlineStr">
        <is>
          <t>CORE-HIC</t>
        </is>
      </c>
      <c r="C355" t="inlineStr">
        <is>
          <t>C1b</t>
        </is>
      </c>
      <c r="D355" t="n">
        <v>6.65</v>
      </c>
      <c r="E355" t="inlineStr">
        <is>
          <t>M&amp;E and Learning</t>
        </is>
      </c>
      <c r="F355">
        <f>SUMIF($A$2:$A$1594,A355,$D$2:$D$1594)</f>
        <v/>
      </c>
    </row>
    <row r="356">
      <c r="A356" t="inlineStr">
        <is>
          <t>Miranda Rondon de Ro, Ing</t>
        </is>
      </c>
      <c r="B356" t="inlineStr">
        <is>
          <t>CORE-HIC</t>
        </is>
      </c>
      <c r="C356" t="inlineStr">
        <is>
          <t>C1a</t>
        </is>
      </c>
      <c r="D356" t="n">
        <v>5.84</v>
      </c>
      <c r="E356" t="inlineStr">
        <is>
          <t>M&amp;E and Learning</t>
        </is>
      </c>
      <c r="F356">
        <f>SUMIF($A$2:$A$1594,A356,$D$2:$D$1594)</f>
        <v/>
      </c>
    </row>
    <row r="357">
      <c r="A357" t="inlineStr">
        <is>
          <t>Miranda Rondon de Ro, Ing</t>
        </is>
      </c>
      <c r="B357" t="inlineStr">
        <is>
          <t>CORE-HIC</t>
        </is>
      </c>
      <c r="C357" t="inlineStr">
        <is>
          <t>C1b</t>
        </is>
      </c>
      <c r="D357" t="n">
        <v>7.1378</v>
      </c>
      <c r="E357" t="inlineStr">
        <is>
          <t>M&amp;E and Learning</t>
        </is>
      </c>
      <c r="F357">
        <f>SUMIF($A$2:$A$1594,A357,$D$2:$D$1594)</f>
        <v/>
      </c>
    </row>
    <row r="358">
      <c r="A358" t="inlineStr">
        <is>
          <t>Sakaguchi, Kevin</t>
        </is>
      </c>
      <c r="B358" t="inlineStr">
        <is>
          <t>CORE-HIC</t>
        </is>
      </c>
      <c r="C358" t="inlineStr">
        <is>
          <t>C1a</t>
        </is>
      </c>
      <c r="D358" t="n">
        <v>5.84</v>
      </c>
      <c r="E358" t="inlineStr">
        <is>
          <t>M&amp;E and Learning</t>
        </is>
      </c>
      <c r="F358">
        <f>SUMIF($A$2:$A$1594,A358,$D$2:$D$1594)</f>
        <v/>
      </c>
    </row>
    <row r="359">
      <c r="A359" t="inlineStr">
        <is>
          <t>Sakaguchi, Kevin</t>
        </is>
      </c>
      <c r="B359" t="inlineStr">
        <is>
          <t>CORE-HIC</t>
        </is>
      </c>
      <c r="C359" t="inlineStr">
        <is>
          <t>C1b</t>
        </is>
      </c>
      <c r="D359" t="n">
        <v>7.1378</v>
      </c>
      <c r="E359" t="inlineStr">
        <is>
          <t>M&amp;E and Learning</t>
        </is>
      </c>
      <c r="F359">
        <f>SUMIF($A$2:$A$1594,A359,$D$2:$D$1594)</f>
        <v/>
      </c>
    </row>
    <row r="360">
      <c r="A360" t="inlineStr">
        <is>
          <t>Claussen, Laurence</t>
        </is>
      </c>
      <c r="B360" t="inlineStr">
        <is>
          <t>CORE-HIC</t>
        </is>
      </c>
      <c r="C360" t="inlineStr">
        <is>
          <t>C1a</t>
        </is>
      </c>
      <c r="D360" t="n">
        <v>5.4715</v>
      </c>
      <c r="E360" t="inlineStr">
        <is>
          <t>Comms Manager</t>
        </is>
      </c>
      <c r="F360">
        <f>SUMIF($A$2:$A$1594,A360,$D$2:$D$1594)</f>
        <v/>
      </c>
    </row>
    <row r="361">
      <c r="A361" t="inlineStr">
        <is>
          <t>Claussen, Laurence</t>
        </is>
      </c>
      <c r="B361" t="inlineStr">
        <is>
          <t>CORE-HIC</t>
        </is>
      </c>
      <c r="C361" t="inlineStr">
        <is>
          <t>C1b</t>
        </is>
      </c>
      <c r="D361" t="n">
        <v>6.6874</v>
      </c>
      <c r="E361" t="inlineStr">
        <is>
          <t>Comms Manager</t>
        </is>
      </c>
      <c r="F361">
        <f>SUMIF($A$2:$A$1594,A361,$D$2:$D$1594)</f>
        <v/>
      </c>
    </row>
    <row r="362">
      <c r="A362" t="inlineStr">
        <is>
          <t>Loehr, Caitlin</t>
        </is>
      </c>
      <c r="B362" t="inlineStr">
        <is>
          <t>CORE-HIC</t>
        </is>
      </c>
      <c r="C362" t="inlineStr">
        <is>
          <t>C1a</t>
        </is>
      </c>
      <c r="D362" t="n">
        <v>5.84</v>
      </c>
      <c r="E362" t="inlineStr">
        <is>
          <t>Senior Tech Advisor - Digital</t>
        </is>
      </c>
      <c r="F362">
        <f>SUMIF($A$2:$A$1594,A362,$D$2:$D$1594)</f>
        <v/>
      </c>
    </row>
    <row r="363">
      <c r="A363" t="inlineStr">
        <is>
          <t>Loehr, Caitlin</t>
        </is>
      </c>
      <c r="B363" t="inlineStr">
        <is>
          <t>CORE-HIC</t>
        </is>
      </c>
      <c r="C363" t="inlineStr">
        <is>
          <t>C1b</t>
        </is>
      </c>
      <c r="D363" t="n">
        <v>7.1378</v>
      </c>
      <c r="E363" t="inlineStr">
        <is>
          <t>Senior Tech Advisor - Digital</t>
        </is>
      </c>
      <c r="F363">
        <f>SUMIF($A$2:$A$1594,A363,$D$2:$D$1594)</f>
        <v/>
      </c>
    </row>
    <row r="364">
      <c r="A364" t="inlineStr">
        <is>
          <t>Judice, Nicole</t>
        </is>
      </c>
      <c r="B364" t="inlineStr">
        <is>
          <t>CORE-HIC</t>
        </is>
      </c>
      <c r="C364" t="inlineStr">
        <is>
          <t>C1a</t>
        </is>
      </c>
      <c r="D364" t="n">
        <v>10.0873</v>
      </c>
      <c r="E364" t="inlineStr">
        <is>
          <t xml:space="preserve">Director Pool </t>
        </is>
      </c>
      <c r="F364">
        <f>SUMIF($A$2:$A$1594,A364,$D$2:$D$1594)</f>
        <v/>
      </c>
    </row>
    <row r="365">
      <c r="A365" t="inlineStr">
        <is>
          <t>Judice, Nicole</t>
        </is>
      </c>
      <c r="B365" t="inlineStr">
        <is>
          <t>CORE-HIC</t>
        </is>
      </c>
      <c r="C365" t="inlineStr">
        <is>
          <t>C1b</t>
        </is>
      </c>
      <c r="D365" t="n">
        <v>12.3289</v>
      </c>
      <c r="E365" t="inlineStr">
        <is>
          <t xml:space="preserve">Director Pool </t>
        </is>
      </c>
      <c r="F365">
        <f>SUMIF($A$2:$A$1594,A365,$D$2:$D$1594)</f>
        <v/>
      </c>
    </row>
    <row r="366">
      <c r="A366" t="inlineStr">
        <is>
          <t>Clanton, Kaley</t>
        </is>
      </c>
      <c r="B366" t="inlineStr">
        <is>
          <t>CORE-HIC</t>
        </is>
      </c>
      <c r="C366" t="inlineStr">
        <is>
          <t>C1a</t>
        </is>
      </c>
      <c r="D366" t="n">
        <v>17.7502</v>
      </c>
      <c r="E366" t="inlineStr">
        <is>
          <t>Associate Pool</t>
        </is>
      </c>
      <c r="F366">
        <f>SUMIF($A$2:$A$1594,A366,$D$2:$D$1594)</f>
        <v/>
      </c>
    </row>
    <row r="367">
      <c r="A367" t="inlineStr">
        <is>
          <t>Clanton, Kaley</t>
        </is>
      </c>
      <c r="B367" t="inlineStr">
        <is>
          <t>CORE-HIC</t>
        </is>
      </c>
      <c r="C367" t="inlineStr">
        <is>
          <t>C1b</t>
        </is>
      </c>
      <c r="D367" t="n">
        <v>27.8273</v>
      </c>
      <c r="E367" t="inlineStr">
        <is>
          <t>Associate Pool</t>
        </is>
      </c>
      <c r="F367">
        <f>SUMIF($A$2:$A$1594,A367,$D$2:$D$1594)</f>
        <v/>
      </c>
    </row>
    <row r="368">
      <c r="A368" t="inlineStr">
        <is>
          <t>Berihun, Tewodros</t>
        </is>
      </c>
      <c r="B368" t="inlineStr">
        <is>
          <t>CORE-HIC</t>
        </is>
      </c>
      <c r="C368" t="inlineStr">
        <is>
          <t>C1a</t>
        </is>
      </c>
      <c r="D368" t="n">
        <v>10.6845</v>
      </c>
      <c r="E368" t="inlineStr">
        <is>
          <t>Senior Data Scientist</t>
        </is>
      </c>
      <c r="F368">
        <f>SUMIF($A$2:$A$1594,A368,$D$2:$D$1594)</f>
        <v/>
      </c>
    </row>
    <row r="369">
      <c r="A369" t="inlineStr">
        <is>
          <t>Berihun, Tewodros</t>
        </is>
      </c>
      <c r="B369" t="inlineStr">
        <is>
          <t>CORE-HIC</t>
        </is>
      </c>
      <c r="C369" t="inlineStr">
        <is>
          <t>C1b</t>
        </is>
      </c>
      <c r="D369" t="n">
        <v>13.0589</v>
      </c>
      <c r="E369" t="inlineStr">
        <is>
          <t>Senior Data Scientist</t>
        </is>
      </c>
      <c r="F369">
        <f>SUMIF($A$2:$A$1594,A369,$D$2:$D$1594)</f>
        <v/>
      </c>
    </row>
    <row r="370">
      <c r="A370" t="inlineStr">
        <is>
          <t>Saint Germain, Maya</t>
        </is>
      </c>
      <c r="B370" t="inlineStr">
        <is>
          <t>CORE-HIC</t>
        </is>
      </c>
      <c r="C370" t="inlineStr">
        <is>
          <t>C1a</t>
        </is>
      </c>
      <c r="D370" t="n">
        <v>15.2636</v>
      </c>
      <c r="E370" t="inlineStr">
        <is>
          <t>Program Manager</t>
        </is>
      </c>
      <c r="F370">
        <f>SUMIF($A$2:$A$1594,A370,$D$2:$D$1594)</f>
        <v/>
      </c>
    </row>
    <row r="371">
      <c r="A371" t="inlineStr">
        <is>
          <t>Saint Germain, Maya</t>
        </is>
      </c>
      <c r="B371" t="inlineStr">
        <is>
          <t>CORE-HIC</t>
        </is>
      </c>
      <c r="C371" t="inlineStr">
        <is>
          <t>C1b</t>
        </is>
      </c>
      <c r="D371" t="n">
        <v>18.6556</v>
      </c>
      <c r="E371" t="inlineStr">
        <is>
          <t>Program Manager</t>
        </is>
      </c>
      <c r="F371">
        <f>SUMIF($A$2:$A$1594,A371,$D$2:$D$1594)</f>
        <v/>
      </c>
    </row>
    <row r="372">
      <c r="A372" t="inlineStr">
        <is>
          <t>DiVenanzo, Lauren</t>
        </is>
      </c>
      <c r="B372" t="inlineStr">
        <is>
          <t>CORE-HIC</t>
        </is>
      </c>
      <c r="C372" t="inlineStr">
        <is>
          <t>C1a</t>
        </is>
      </c>
      <c r="D372" t="n">
        <v>15.2636</v>
      </c>
      <c r="E372" t="inlineStr">
        <is>
          <t>Senior Tech Advisor - Digital</t>
        </is>
      </c>
      <c r="F372">
        <f>SUMIF($A$2:$A$1594,A372,$D$2:$D$1594)</f>
        <v/>
      </c>
    </row>
    <row r="373">
      <c r="A373" t="inlineStr">
        <is>
          <t>DiVenanzo, Lauren</t>
        </is>
      </c>
      <c r="B373" t="inlineStr">
        <is>
          <t>CORE-HIC</t>
        </is>
      </c>
      <c r="C373" t="inlineStr">
        <is>
          <t>C1b</t>
        </is>
      </c>
      <c r="D373" t="n">
        <v>18.6556</v>
      </c>
      <c r="E373" t="inlineStr">
        <is>
          <t>Senior Tech Advisor - Digital</t>
        </is>
      </c>
      <c r="F373">
        <f>SUMIF($A$2:$A$1594,A373,$D$2:$D$1594)</f>
        <v/>
      </c>
    </row>
    <row r="374">
      <c r="A374" t="inlineStr">
        <is>
          <t>Cavanaugh, Clint</t>
        </is>
      </c>
      <c r="B374" t="inlineStr">
        <is>
          <t>CORE-HIC</t>
        </is>
      </c>
      <c r="C374" t="inlineStr">
        <is>
          <t>C1a</t>
        </is>
      </c>
      <c r="D374" t="n">
        <v>3.8491</v>
      </c>
      <c r="E374" t="inlineStr">
        <is>
          <t>Senior Health Director</t>
        </is>
      </c>
      <c r="F374">
        <f>SUMIF($A$2:$A$1594,A374,$D$2:$D$1594)</f>
        <v/>
      </c>
    </row>
    <row r="375">
      <c r="A375" t="inlineStr">
        <is>
          <t>Cavanaugh, Clint</t>
        </is>
      </c>
      <c r="B375" t="inlineStr">
        <is>
          <t>CORE-HIC</t>
        </is>
      </c>
      <c r="C375" t="inlineStr">
        <is>
          <t>C1b</t>
        </is>
      </c>
      <c r="D375" t="n">
        <v>4.7044</v>
      </c>
      <c r="E375" t="inlineStr">
        <is>
          <t>Senior Health Director</t>
        </is>
      </c>
      <c r="F375">
        <f>SUMIF($A$2:$A$1594,A375,$D$2:$D$1594)</f>
        <v/>
      </c>
    </row>
    <row r="376">
      <c r="A376" t="inlineStr">
        <is>
          <t>Mathias, John</t>
        </is>
      </c>
      <c r="B376" t="inlineStr">
        <is>
          <t>CORE-HIC</t>
        </is>
      </c>
      <c r="C376" t="inlineStr">
        <is>
          <t>C1a</t>
        </is>
      </c>
      <c r="D376" t="n">
        <v>5.5337</v>
      </c>
      <c r="E376" t="inlineStr">
        <is>
          <t>Operations Director</t>
        </is>
      </c>
      <c r="F376">
        <f>SUMIF($A$2:$A$1594,A376,$D$2:$D$1594)</f>
        <v/>
      </c>
    </row>
    <row r="377">
      <c r="A377" t="inlineStr">
        <is>
          <t>Mathias, John</t>
        </is>
      </c>
      <c r="B377" t="inlineStr">
        <is>
          <t>CORE-HIC</t>
        </is>
      </c>
      <c r="C377" t="inlineStr">
        <is>
          <t>C1b</t>
        </is>
      </c>
      <c r="D377" t="n">
        <v>6.7634</v>
      </c>
      <c r="E377" t="inlineStr">
        <is>
          <t>Operations Director</t>
        </is>
      </c>
      <c r="F377">
        <f>SUMIF($A$2:$A$1594,A377,$D$2:$D$1594)</f>
        <v/>
      </c>
    </row>
    <row r="378">
      <c r="A378" t="inlineStr">
        <is>
          <t>Misomali, Mark</t>
        </is>
      </c>
      <c r="B378" t="inlineStr">
        <is>
          <t>CORE-HIC</t>
        </is>
      </c>
      <c r="C378" t="inlineStr">
        <is>
          <t>C1a</t>
        </is>
      </c>
      <c r="D378" t="n">
        <v>5.5337</v>
      </c>
      <c r="E378" t="inlineStr">
        <is>
          <t xml:space="preserve">Operations Sr Finance Manager   </t>
        </is>
      </c>
      <c r="F378">
        <f>SUMIF($A$2:$A$1594,A378,$D$2:$D$1594)</f>
        <v/>
      </c>
    </row>
    <row r="379">
      <c r="A379" t="inlineStr">
        <is>
          <t>Misomali, Mark</t>
        </is>
      </c>
      <c r="B379" t="inlineStr">
        <is>
          <t>CORE-HIC</t>
        </is>
      </c>
      <c r="C379" t="inlineStr">
        <is>
          <t>C1b</t>
        </is>
      </c>
      <c r="D379" t="n">
        <v>6.7634</v>
      </c>
      <c r="E379" t="inlineStr">
        <is>
          <t xml:space="preserve">Operations Sr Finance Manager   </t>
        </is>
      </c>
      <c r="F379">
        <f>SUMIF($A$2:$A$1594,A379,$D$2:$D$1594)</f>
        <v/>
      </c>
    </row>
    <row r="380">
      <c r="A380" t="inlineStr">
        <is>
          <t>Noorzai, Mahmood</t>
        </is>
      </c>
      <c r="B380" t="inlineStr">
        <is>
          <t>CORE-HIC</t>
        </is>
      </c>
      <c r="C380" t="inlineStr">
        <is>
          <t>C1a</t>
        </is>
      </c>
      <c r="D380" t="n">
        <v>5.5337</v>
      </c>
      <c r="E380" t="inlineStr">
        <is>
          <t>Operations Finance Associate</t>
        </is>
      </c>
      <c r="F380">
        <f>SUMIF($A$2:$A$1594,A380,$D$2:$D$1594)</f>
        <v/>
      </c>
    </row>
    <row r="381">
      <c r="A381" t="inlineStr">
        <is>
          <t>Noorzai, Mahmood</t>
        </is>
      </c>
      <c r="B381" t="inlineStr">
        <is>
          <t>CORE-HIC</t>
        </is>
      </c>
      <c r="C381" t="inlineStr">
        <is>
          <t>C1b</t>
        </is>
      </c>
      <c r="D381" t="n">
        <v>6.7634</v>
      </c>
      <c r="E381" t="inlineStr">
        <is>
          <t>Operations Finance Associate</t>
        </is>
      </c>
      <c r="F381">
        <f>SUMIF($A$2:$A$1594,A381,$D$2:$D$1594)</f>
        <v/>
      </c>
    </row>
    <row r="382">
      <c r="A382" t="inlineStr">
        <is>
          <t>Bradford, Stephanie</t>
        </is>
      </c>
      <c r="B382" t="inlineStr">
        <is>
          <t>CORE-HIC</t>
        </is>
      </c>
      <c r="C382" t="inlineStr">
        <is>
          <t>C1a</t>
        </is>
      </c>
      <c r="D382" t="n">
        <v>19.5899</v>
      </c>
      <c r="E382" t="inlineStr">
        <is>
          <t>Operations Senior Manager Pool-17</t>
        </is>
      </c>
      <c r="F382">
        <f>SUMIF($A$2:$A$1594,A382,$D$2:$D$1594)</f>
        <v/>
      </c>
    </row>
    <row r="383">
      <c r="A383" t="inlineStr">
        <is>
          <t>Bradford, Stephanie</t>
        </is>
      </c>
      <c r="B383" t="inlineStr">
        <is>
          <t>CORE-HIC</t>
        </is>
      </c>
      <c r="C383" t="inlineStr">
        <is>
          <t>C1b</t>
        </is>
      </c>
      <c r="D383" t="n">
        <v>23.9432</v>
      </c>
      <c r="E383" t="inlineStr">
        <is>
          <t>Operations Senior Manager Pool-17</t>
        </is>
      </c>
      <c r="F383">
        <f>SUMIF($A$2:$A$1594,A383,$D$2:$D$1594)</f>
        <v/>
      </c>
    </row>
    <row r="384">
      <c r="A384" t="inlineStr">
        <is>
          <t>Nabeel, Shayan</t>
        </is>
      </c>
      <c r="B384" t="inlineStr">
        <is>
          <t>CORE-HIC</t>
        </is>
      </c>
      <c r="C384" t="inlineStr">
        <is>
          <t>C1a</t>
        </is>
      </c>
      <c r="D384" t="n">
        <v>8.5174</v>
      </c>
      <c r="E384" t="inlineStr">
        <is>
          <t>Operations Manager level - 16</t>
        </is>
      </c>
      <c r="F384">
        <f>SUMIF($A$2:$A$1594,A384,$D$2:$D$1594)</f>
        <v/>
      </c>
    </row>
    <row r="385">
      <c r="A385" t="inlineStr">
        <is>
          <t>Nabeel, Shayan</t>
        </is>
      </c>
      <c r="B385" t="inlineStr">
        <is>
          <t>CORE-HIC</t>
        </is>
      </c>
      <c r="C385" t="inlineStr">
        <is>
          <t>C1b</t>
        </is>
      </c>
      <c r="D385" t="n">
        <v>10.4101</v>
      </c>
      <c r="E385" t="inlineStr">
        <is>
          <t>Operations Manager level - 16</t>
        </is>
      </c>
      <c r="F385">
        <f>SUMIF($A$2:$A$1594,A385,$D$2:$D$1594)</f>
        <v/>
      </c>
    </row>
    <row r="386">
      <c r="A386" t="inlineStr">
        <is>
          <t>Mawandia, Shreshth</t>
        </is>
      </c>
      <c r="B386" t="inlineStr">
        <is>
          <t>CORE-Supply Chain</t>
        </is>
      </c>
      <c r="C386" t="inlineStr">
        <is>
          <t>T1.6</t>
        </is>
      </c>
      <c r="D386" t="n">
        <v>7.8642</v>
      </c>
      <c r="E386" t="inlineStr">
        <is>
          <t>KP - Project Director</t>
        </is>
      </c>
      <c r="F386">
        <f>SUMIF($A$2:$A$1594,A386,$D$2:$D$1594)</f>
        <v/>
      </c>
    </row>
    <row r="387">
      <c r="A387" t="inlineStr">
        <is>
          <t>Mawandia, Shreshth</t>
        </is>
      </c>
      <c r="B387" t="inlineStr">
        <is>
          <t>CORE-Supply Chain</t>
        </is>
      </c>
      <c r="C387" t="inlineStr">
        <is>
          <t>C5</t>
        </is>
      </c>
      <c r="D387" t="n">
        <v>16.0281</v>
      </c>
      <c r="E387" t="inlineStr">
        <is>
          <t>KP - Project Director</t>
        </is>
      </c>
      <c r="F387">
        <f>SUMIF($A$2:$A$1594,A387,$D$2:$D$1594)</f>
        <v/>
      </c>
    </row>
    <row r="388">
      <c r="A388" t="inlineStr">
        <is>
          <t>Mawandia, Shreshth</t>
        </is>
      </c>
      <c r="B388" t="inlineStr">
        <is>
          <t>CORE-Supply Chain</t>
        </is>
      </c>
      <c r="C388" t="inlineStr">
        <is>
          <t>C6</t>
        </is>
      </c>
      <c r="D388" t="n">
        <v>35.4714</v>
      </c>
      <c r="E388" t="inlineStr">
        <is>
          <t>KP - Project Director</t>
        </is>
      </c>
      <c r="F388">
        <f>SUMIF($A$2:$A$1594,A388,$D$2:$D$1594)</f>
        <v/>
      </c>
    </row>
    <row r="389">
      <c r="A389" t="inlineStr">
        <is>
          <t>Mawandia, Shreshth</t>
        </is>
      </c>
      <c r="B389" t="inlineStr">
        <is>
          <t>CORE-Supply Chain</t>
        </is>
      </c>
      <c r="C389" t="inlineStr">
        <is>
          <t>C7</t>
        </is>
      </c>
      <c r="D389" t="n">
        <v>18.23</v>
      </c>
      <c r="E389" t="inlineStr">
        <is>
          <t>KP - Project Director</t>
        </is>
      </c>
      <c r="F389">
        <f>SUMIF($A$2:$A$1594,A389,$D$2:$D$1594)</f>
        <v/>
      </c>
    </row>
    <row r="390">
      <c r="A390" t="inlineStr">
        <is>
          <t>Nigussie, Netsanet</t>
        </is>
      </c>
      <c r="B390" t="inlineStr">
        <is>
          <t>CORE-Supply Chain</t>
        </is>
      </c>
      <c r="C390" t="inlineStr">
        <is>
          <t>T1.6</t>
        </is>
      </c>
      <c r="D390" t="n">
        <v>7.8642</v>
      </c>
      <c r="E390" t="inlineStr">
        <is>
          <t>KP - Technical Director</t>
        </is>
      </c>
      <c r="F390">
        <f>SUMIF($A$2:$A$1594,A390,$D$2:$D$1594)</f>
        <v/>
      </c>
    </row>
    <row r="391">
      <c r="A391" t="inlineStr">
        <is>
          <t>Nigussie, Netsanet</t>
        </is>
      </c>
      <c r="B391" t="inlineStr">
        <is>
          <t>CORE-Supply Chain</t>
        </is>
      </c>
      <c r="C391" t="inlineStr">
        <is>
          <t>C5</t>
        </is>
      </c>
      <c r="D391" t="n">
        <v>16.0281</v>
      </c>
      <c r="E391" t="inlineStr">
        <is>
          <t>KP - Technical Director</t>
        </is>
      </c>
      <c r="F391">
        <f>SUMIF($A$2:$A$1594,A391,$D$2:$D$1594)</f>
        <v/>
      </c>
    </row>
    <row r="392">
      <c r="A392" t="inlineStr">
        <is>
          <t>Nigussie, Netsanet</t>
        </is>
      </c>
      <c r="B392" t="inlineStr">
        <is>
          <t>CORE-Supply Chain</t>
        </is>
      </c>
      <c r="C392" t="inlineStr">
        <is>
          <t>C6</t>
        </is>
      </c>
      <c r="D392" t="n">
        <v>35.4714</v>
      </c>
      <c r="E392" t="inlineStr">
        <is>
          <t>KP - Technical Director</t>
        </is>
      </c>
      <c r="F392">
        <f>SUMIF($A$2:$A$1594,A392,$D$2:$D$1594)</f>
        <v/>
      </c>
    </row>
    <row r="393">
      <c r="A393" t="inlineStr">
        <is>
          <t>Nigussie, Netsanet</t>
        </is>
      </c>
      <c r="B393" t="inlineStr">
        <is>
          <t>CORE-Supply Chain</t>
        </is>
      </c>
      <c r="C393" t="inlineStr">
        <is>
          <t>C7</t>
        </is>
      </c>
      <c r="D393" t="n">
        <v>18.23</v>
      </c>
      <c r="E393" t="inlineStr">
        <is>
          <t>KP - Technical Director</t>
        </is>
      </c>
      <c r="F393">
        <f>SUMIF($A$2:$A$1594,A393,$D$2:$D$1594)</f>
        <v/>
      </c>
    </row>
    <row r="394">
      <c r="A394" t="inlineStr">
        <is>
          <t>Mensah, Margaret</t>
        </is>
      </c>
      <c r="B394" t="inlineStr">
        <is>
          <t>CORE-Supply Chain</t>
        </is>
      </c>
      <c r="C394" t="inlineStr">
        <is>
          <t>T1.6</t>
        </is>
      </c>
      <c r="D394" t="n">
        <v>5.4314</v>
      </c>
      <c r="E394" t="inlineStr">
        <is>
          <t>KP - Finance Director</t>
        </is>
      </c>
      <c r="F394">
        <f>SUMIF($A$2:$A$1594,A394,$D$2:$D$1594)</f>
        <v/>
      </c>
    </row>
    <row r="395">
      <c r="A395" t="inlineStr">
        <is>
          <t>Mensah, Margaret</t>
        </is>
      </c>
      <c r="B395" t="inlineStr">
        <is>
          <t>CORE-Supply Chain</t>
        </is>
      </c>
      <c r="C395" t="inlineStr">
        <is>
          <t>C5</t>
        </is>
      </c>
      <c r="D395" t="n">
        <v>11.3533</v>
      </c>
      <c r="E395" t="inlineStr">
        <is>
          <t>KP - Finance Director</t>
        </is>
      </c>
      <c r="F395">
        <f>SUMIF($A$2:$A$1594,A395,$D$2:$D$1594)</f>
        <v/>
      </c>
    </row>
    <row r="396">
      <c r="A396" t="inlineStr">
        <is>
          <t>Mensah, Margaret</t>
        </is>
      </c>
      <c r="B396" t="inlineStr">
        <is>
          <t>CORE-Supply Chain</t>
        </is>
      </c>
      <c r="C396" t="inlineStr">
        <is>
          <t>C6</t>
        </is>
      </c>
      <c r="D396" t="n">
        <v>26.4664</v>
      </c>
      <c r="E396" t="inlineStr">
        <is>
          <t>KP - Finance Director</t>
        </is>
      </c>
      <c r="F396">
        <f>SUMIF($A$2:$A$1594,A396,$D$2:$D$1594)</f>
        <v/>
      </c>
    </row>
    <row r="397">
      <c r="A397" t="inlineStr">
        <is>
          <t>Mensah, Margaret</t>
        </is>
      </c>
      <c r="B397" t="inlineStr">
        <is>
          <t>CORE-Supply Chain</t>
        </is>
      </c>
      <c r="C397" t="inlineStr">
        <is>
          <t>C7</t>
        </is>
      </c>
      <c r="D397" t="n">
        <v>13.0781</v>
      </c>
      <c r="E397" t="inlineStr">
        <is>
          <t>KP - Finance Director</t>
        </is>
      </c>
      <c r="F397">
        <f>SUMIF($A$2:$A$1594,A397,$D$2:$D$1594)</f>
        <v/>
      </c>
    </row>
    <row r="398">
      <c r="A398" t="inlineStr">
        <is>
          <t>Sharma, Suneeta</t>
        </is>
      </c>
      <c r="B398" t="inlineStr">
        <is>
          <t>CORE-Supply Chain</t>
        </is>
      </c>
      <c r="C398" t="inlineStr">
        <is>
          <t>T1.6</t>
        </is>
      </c>
      <c r="D398" t="n">
        <v>4.8314</v>
      </c>
      <c r="E398" t="inlineStr">
        <is>
          <t>Objective 4 Co-Lead - 50% across T1.5, SL</t>
        </is>
      </c>
      <c r="F398">
        <f>SUMIF($A$2:$A$1594,A398,$D$2:$D$1594)</f>
        <v/>
      </c>
    </row>
    <row r="399">
      <c r="A399" t="inlineStr">
        <is>
          <t>Sharma, Suneeta</t>
        </is>
      </c>
      <c r="B399" t="inlineStr">
        <is>
          <t>CORE-Supply Chain</t>
        </is>
      </c>
      <c r="C399" t="inlineStr">
        <is>
          <t>C5</t>
        </is>
      </c>
      <c r="D399" t="n">
        <v>9.8469</v>
      </c>
      <c r="E399" t="inlineStr">
        <is>
          <t>Objective 4 Co-Lead - 50% across T1.5, SL</t>
        </is>
      </c>
      <c r="F399">
        <f>SUMIF($A$2:$A$1594,A399,$D$2:$D$1594)</f>
        <v/>
      </c>
    </row>
    <row r="400">
      <c r="A400" t="inlineStr">
        <is>
          <t>Sharma, Suneeta</t>
        </is>
      </c>
      <c r="B400" t="inlineStr">
        <is>
          <t>CORE-Supply Chain</t>
        </is>
      </c>
      <c r="C400" t="inlineStr">
        <is>
          <t>C6</t>
        </is>
      </c>
      <c r="D400" t="n">
        <v>32.9918</v>
      </c>
      <c r="E400" t="inlineStr">
        <is>
          <t>Objective 4 Co-Lead - 50% across T1.5, SL</t>
        </is>
      </c>
      <c r="F400">
        <f>SUMIF($A$2:$A$1594,A400,$D$2:$D$1594)</f>
        <v/>
      </c>
    </row>
    <row r="401">
      <c r="A401" t="inlineStr">
        <is>
          <t>Friedman, Jonathan</t>
        </is>
      </c>
      <c r="B401" t="inlineStr">
        <is>
          <t>CORE-Supply Chain</t>
        </is>
      </c>
      <c r="C401" t="inlineStr">
        <is>
          <t>T1.6</t>
        </is>
      </c>
      <c r="D401" t="n">
        <v>5.702</v>
      </c>
      <c r="E401" t="inlineStr">
        <is>
          <t>AI/ML Lead</t>
        </is>
      </c>
      <c r="F401">
        <f>SUMIF($A$2:$A$1594,A401,$D$2:$D$1594)</f>
        <v/>
      </c>
    </row>
    <row r="402">
      <c r="A402" t="inlineStr">
        <is>
          <t>Friedman, Jonathan</t>
        </is>
      </c>
      <c r="B402" t="inlineStr">
        <is>
          <t>CORE-Supply Chain</t>
        </is>
      </c>
      <c r="C402" t="inlineStr">
        <is>
          <t>C5</t>
        </is>
      </c>
      <c r="D402" t="n">
        <v>11.6211</v>
      </c>
      <c r="E402" t="inlineStr">
        <is>
          <t>AI/ML Lead</t>
        </is>
      </c>
      <c r="F402">
        <f>SUMIF($A$2:$A$1594,A402,$D$2:$D$1594)</f>
        <v/>
      </c>
    </row>
    <row r="403">
      <c r="A403" t="inlineStr">
        <is>
          <t>Friedman, Jonathan</t>
        </is>
      </c>
      <c r="B403" t="inlineStr">
        <is>
          <t>CORE-Supply Chain</t>
        </is>
      </c>
      <c r="C403" t="inlineStr">
        <is>
          <t>C6</t>
        </is>
      </c>
      <c r="D403" t="n">
        <v>25.7185</v>
      </c>
      <c r="E403" t="inlineStr">
        <is>
          <t>AI/ML Lead</t>
        </is>
      </c>
      <c r="F403">
        <f>SUMIF($A$2:$A$1594,A403,$D$2:$D$1594)</f>
        <v/>
      </c>
    </row>
    <row r="404">
      <c r="A404" t="inlineStr">
        <is>
          <t>Friedman, Jonathan</t>
        </is>
      </c>
      <c r="B404" t="inlineStr">
        <is>
          <t>CORE-Supply Chain</t>
        </is>
      </c>
      <c r="C404" t="inlineStr">
        <is>
          <t>C7</t>
        </is>
      </c>
      <c r="D404" t="n">
        <v>13.2177</v>
      </c>
      <c r="E404" t="inlineStr">
        <is>
          <t>AI/ML Lead</t>
        </is>
      </c>
      <c r="F404">
        <f>SUMIF($A$2:$A$1594,A404,$D$2:$D$1594)</f>
        <v/>
      </c>
    </row>
    <row r="405">
      <c r="A405" t="inlineStr">
        <is>
          <t>Mavyuva, Boniface</t>
        </is>
      </c>
      <c r="B405" t="inlineStr">
        <is>
          <t>CORE-Supply Chain</t>
        </is>
      </c>
      <c r="C405" t="inlineStr">
        <is>
          <t>T1.6</t>
        </is>
      </c>
      <c r="D405" t="n">
        <v>13.1313</v>
      </c>
      <c r="E405" t="inlineStr">
        <is>
          <t>Dig Infrastructure Lead</t>
        </is>
      </c>
      <c r="F405">
        <f>SUMIF($A$2:$A$1594,A405,$D$2:$D$1594)</f>
        <v/>
      </c>
    </row>
    <row r="406">
      <c r="A406" t="inlineStr">
        <is>
          <t>Mavyuva, Boniface</t>
        </is>
      </c>
      <c r="B406" t="inlineStr">
        <is>
          <t>CORE-Supply Chain</t>
        </is>
      </c>
      <c r="C406" t="inlineStr">
        <is>
          <t>C5</t>
        </is>
      </c>
      <c r="D406" t="n">
        <v>26.7629</v>
      </c>
      <c r="E406" t="inlineStr">
        <is>
          <t>Dig Infrastructure Lead</t>
        </is>
      </c>
      <c r="F406">
        <f>SUMIF($A$2:$A$1594,A406,$D$2:$D$1594)</f>
        <v/>
      </c>
    </row>
    <row r="407">
      <c r="A407" t="inlineStr">
        <is>
          <t>Mavyuva, Boniface</t>
        </is>
      </c>
      <c r="B407" t="inlineStr">
        <is>
          <t>CORE-Supply Chain</t>
        </is>
      </c>
      <c r="C407" t="inlineStr">
        <is>
          <t>C6</t>
        </is>
      </c>
      <c r="D407" t="n">
        <v>59.2285</v>
      </c>
      <c r="E407" t="inlineStr">
        <is>
          <t>Dig Infrastructure Lead</t>
        </is>
      </c>
      <c r="F407">
        <f>SUMIF($A$2:$A$1594,A407,$D$2:$D$1594)</f>
        <v/>
      </c>
    </row>
    <row r="408">
      <c r="A408" t="inlineStr">
        <is>
          <t>Mavyuva, Boniface</t>
        </is>
      </c>
      <c r="B408" t="inlineStr">
        <is>
          <t>CORE-Supply Chain</t>
        </is>
      </c>
      <c r="C408" t="inlineStr">
        <is>
          <t>C7</t>
        </is>
      </c>
      <c r="D408" t="n">
        <v>30.4396</v>
      </c>
      <c r="E408" t="inlineStr">
        <is>
          <t>Dig Infrastructure Lead</t>
        </is>
      </c>
      <c r="F408">
        <f>SUMIF($A$2:$A$1594,A408,$D$2:$D$1594)</f>
        <v/>
      </c>
    </row>
    <row r="409">
      <c r="A409" t="inlineStr">
        <is>
          <t>Vargas Monzon, Julio</t>
        </is>
      </c>
      <c r="B409" t="inlineStr">
        <is>
          <t>CORE-Supply Chain</t>
        </is>
      </c>
      <c r="C409" t="inlineStr">
        <is>
          <t>T1.6</t>
        </is>
      </c>
      <c r="D409" t="n">
        <v>4.2897</v>
      </c>
      <c r="E409" t="inlineStr">
        <is>
          <t>Infosec Co-Lead</t>
        </is>
      </c>
      <c r="F409">
        <f>SUMIF($A$2:$A$1594,A409,$D$2:$D$1594)</f>
        <v/>
      </c>
    </row>
    <row r="410">
      <c r="A410" t="inlineStr">
        <is>
          <t>Vargas Monzon, Julio</t>
        </is>
      </c>
      <c r="B410" t="inlineStr">
        <is>
          <t>CORE-Supply Chain</t>
        </is>
      </c>
      <c r="C410" t="inlineStr">
        <is>
          <t>C5</t>
        </is>
      </c>
      <c r="D410" t="n">
        <v>8.742800000000001</v>
      </c>
      <c r="E410" t="inlineStr">
        <is>
          <t>Infosec Co-Lead</t>
        </is>
      </c>
      <c r="F410">
        <f>SUMIF($A$2:$A$1594,A410,$D$2:$D$1594)</f>
        <v/>
      </c>
    </row>
    <row r="411">
      <c r="A411" t="inlineStr">
        <is>
          <t>Vargas Monzon, Julio</t>
        </is>
      </c>
      <c r="B411" t="inlineStr">
        <is>
          <t>CORE-Supply Chain</t>
        </is>
      </c>
      <c r="C411" t="inlineStr">
        <is>
          <t>C6</t>
        </is>
      </c>
      <c r="D411" t="n">
        <v>19.3485</v>
      </c>
      <c r="E411" t="inlineStr">
        <is>
          <t>Infosec Co-Lead</t>
        </is>
      </c>
      <c r="F411">
        <f>SUMIF($A$2:$A$1594,A411,$D$2:$D$1594)</f>
        <v/>
      </c>
    </row>
    <row r="412">
      <c r="A412" t="inlineStr">
        <is>
          <t>Vargas Monzon, Julio</t>
        </is>
      </c>
      <c r="B412" t="inlineStr">
        <is>
          <t>CORE-Supply Chain</t>
        </is>
      </c>
      <c r="C412" t="inlineStr">
        <is>
          <t>C7</t>
        </is>
      </c>
      <c r="D412" t="n">
        <v>9.943899999999999</v>
      </c>
      <c r="E412" t="inlineStr">
        <is>
          <t>Infosec Co-Lead</t>
        </is>
      </c>
      <c r="F412">
        <f>SUMIF($A$2:$A$1594,A412,$D$2:$D$1594)</f>
        <v/>
      </c>
    </row>
    <row r="413">
      <c r="A413" t="inlineStr">
        <is>
          <t>Showalter, Caitlin</t>
        </is>
      </c>
      <c r="B413" t="inlineStr">
        <is>
          <t>CORE-Supply Chain</t>
        </is>
      </c>
      <c r="C413" t="inlineStr">
        <is>
          <t>T1.6</t>
        </is>
      </c>
      <c r="D413" t="n">
        <v>3.8009</v>
      </c>
      <c r="E413" t="inlineStr">
        <is>
          <t>M&amp;E and Learning</t>
        </is>
      </c>
      <c r="F413">
        <f>SUMIF($A$2:$A$1594,A413,$D$2:$D$1594)</f>
        <v/>
      </c>
    </row>
    <row r="414">
      <c r="A414" t="inlineStr">
        <is>
          <t>Showalter, Caitlin</t>
        </is>
      </c>
      <c r="B414" t="inlineStr">
        <is>
          <t>CORE-Supply Chain</t>
        </is>
      </c>
      <c r="C414" t="inlineStr">
        <is>
          <t>C5</t>
        </is>
      </c>
      <c r="D414" t="n">
        <v>7.7465</v>
      </c>
      <c r="E414" t="inlineStr">
        <is>
          <t>M&amp;E and Learning</t>
        </is>
      </c>
      <c r="F414">
        <f>SUMIF($A$2:$A$1594,A414,$D$2:$D$1594)</f>
        <v/>
      </c>
    </row>
    <row r="415">
      <c r="A415" t="inlineStr">
        <is>
          <t>Showalter, Caitlin</t>
        </is>
      </c>
      <c r="B415" t="inlineStr">
        <is>
          <t>CORE-Supply Chain</t>
        </is>
      </c>
      <c r="C415" t="inlineStr">
        <is>
          <t>C6</t>
        </is>
      </c>
      <c r="D415" t="n">
        <v>17.1437</v>
      </c>
      <c r="E415" t="inlineStr">
        <is>
          <t>M&amp;E and Learning</t>
        </is>
      </c>
      <c r="F415">
        <f>SUMIF($A$2:$A$1594,A415,$D$2:$D$1594)</f>
        <v/>
      </c>
    </row>
    <row r="416">
      <c r="A416" t="inlineStr">
        <is>
          <t>Showalter, Caitlin</t>
        </is>
      </c>
      <c r="B416" t="inlineStr">
        <is>
          <t>CORE-Supply Chain</t>
        </is>
      </c>
      <c r="C416" t="inlineStr">
        <is>
          <t>C7</t>
        </is>
      </c>
      <c r="D416" t="n">
        <v>8.810700000000001</v>
      </c>
      <c r="E416" t="inlineStr">
        <is>
          <t>M&amp;E and Learning</t>
        </is>
      </c>
      <c r="F416">
        <f>SUMIF($A$2:$A$1594,A416,$D$2:$D$1594)</f>
        <v/>
      </c>
    </row>
    <row r="417">
      <c r="A417" t="inlineStr">
        <is>
          <t>Miranda Rondon de Ro, Ing</t>
        </is>
      </c>
      <c r="B417" t="inlineStr">
        <is>
          <t>CORE-Supply Chain</t>
        </is>
      </c>
      <c r="C417" t="inlineStr">
        <is>
          <t>T1.6</t>
        </is>
      </c>
      <c r="D417" t="n">
        <v>4.0556</v>
      </c>
      <c r="E417" t="inlineStr">
        <is>
          <t>M&amp;E and Learning</t>
        </is>
      </c>
      <c r="F417">
        <f>SUMIF($A$2:$A$1594,A417,$D$2:$D$1594)</f>
        <v/>
      </c>
    </row>
    <row r="418">
      <c r="A418" t="inlineStr">
        <is>
          <t>Miranda Rondon de Ro, Ing</t>
        </is>
      </c>
      <c r="B418" t="inlineStr">
        <is>
          <t>CORE-Supply Chain</t>
        </is>
      </c>
      <c r="C418" t="inlineStr">
        <is>
          <t>C5</t>
        </is>
      </c>
      <c r="D418" t="n">
        <v>8.265599999999999</v>
      </c>
      <c r="E418" t="inlineStr">
        <is>
          <t>M&amp;E and Learning</t>
        </is>
      </c>
      <c r="F418">
        <f>SUMIF($A$2:$A$1594,A418,$D$2:$D$1594)</f>
        <v/>
      </c>
    </row>
    <row r="419">
      <c r="A419" t="inlineStr">
        <is>
          <t>Miranda Rondon de Ro, Ing</t>
        </is>
      </c>
      <c r="B419" t="inlineStr">
        <is>
          <t>CORE-Supply Chain</t>
        </is>
      </c>
      <c r="C419" t="inlineStr">
        <is>
          <t>C6</t>
        </is>
      </c>
      <c r="D419" t="n">
        <v>18.2925</v>
      </c>
      <c r="E419" t="inlineStr">
        <is>
          <t>M&amp;E and Learning</t>
        </is>
      </c>
      <c r="F419">
        <f>SUMIF($A$2:$A$1594,A419,$D$2:$D$1594)</f>
        <v/>
      </c>
    </row>
    <row r="420">
      <c r="A420" t="inlineStr">
        <is>
          <t>Miranda Rondon de Ro, Ing</t>
        </is>
      </c>
      <c r="B420" t="inlineStr">
        <is>
          <t>CORE-Supply Chain</t>
        </is>
      </c>
      <c r="C420" t="inlineStr">
        <is>
          <t>C7</t>
        </is>
      </c>
      <c r="D420" t="n">
        <v>9.401199999999999</v>
      </c>
      <c r="E420" t="inlineStr">
        <is>
          <t>M&amp;E and Learning</t>
        </is>
      </c>
      <c r="F420">
        <f>SUMIF($A$2:$A$1594,A420,$D$2:$D$1594)</f>
        <v/>
      </c>
    </row>
    <row r="421">
      <c r="A421" t="inlineStr">
        <is>
          <t>Sakaguchi, Kevin</t>
        </is>
      </c>
      <c r="B421" t="inlineStr">
        <is>
          <t>CORE-Supply Chain</t>
        </is>
      </c>
      <c r="C421" t="inlineStr">
        <is>
          <t>T1.6</t>
        </is>
      </c>
      <c r="D421" t="n">
        <v>4.0556</v>
      </c>
      <c r="E421" t="inlineStr">
        <is>
          <t>M&amp;E and Learning</t>
        </is>
      </c>
      <c r="F421">
        <f>SUMIF($A$2:$A$1594,A421,$D$2:$D$1594)</f>
        <v/>
      </c>
    </row>
    <row r="422">
      <c r="A422" t="inlineStr">
        <is>
          <t>Sakaguchi, Kevin</t>
        </is>
      </c>
      <c r="B422" t="inlineStr">
        <is>
          <t>CORE-Supply Chain</t>
        </is>
      </c>
      <c r="C422" t="inlineStr">
        <is>
          <t>C5</t>
        </is>
      </c>
      <c r="D422" t="n">
        <v>8.265599999999999</v>
      </c>
      <c r="E422" t="inlineStr">
        <is>
          <t>M&amp;E and Learning</t>
        </is>
      </c>
      <c r="F422">
        <f>SUMIF($A$2:$A$1594,A422,$D$2:$D$1594)</f>
        <v/>
      </c>
    </row>
    <row r="423">
      <c r="A423" t="inlineStr">
        <is>
          <t>Sakaguchi, Kevin</t>
        </is>
      </c>
      <c r="B423" t="inlineStr">
        <is>
          <t>CORE-Supply Chain</t>
        </is>
      </c>
      <c r="C423" t="inlineStr">
        <is>
          <t>C6</t>
        </is>
      </c>
      <c r="D423" t="n">
        <v>18.2925</v>
      </c>
      <c r="E423" t="inlineStr">
        <is>
          <t>M&amp;E and Learning</t>
        </is>
      </c>
      <c r="F423">
        <f>SUMIF($A$2:$A$1594,A423,$D$2:$D$1594)</f>
        <v/>
      </c>
    </row>
    <row r="424">
      <c r="A424" t="inlineStr">
        <is>
          <t>Sakaguchi, Kevin</t>
        </is>
      </c>
      <c r="B424" t="inlineStr">
        <is>
          <t>CORE-Supply Chain</t>
        </is>
      </c>
      <c r="C424" t="inlineStr">
        <is>
          <t>C7</t>
        </is>
      </c>
      <c r="D424" t="n">
        <v>9.401199999999999</v>
      </c>
      <c r="E424" t="inlineStr">
        <is>
          <t>M&amp;E and Learning</t>
        </is>
      </c>
      <c r="F424">
        <f>SUMIF($A$2:$A$1594,A424,$D$2:$D$1594)</f>
        <v/>
      </c>
    </row>
    <row r="425">
      <c r="A425" t="inlineStr">
        <is>
          <t>Claussen, Laurence</t>
        </is>
      </c>
      <c r="B425" t="inlineStr">
        <is>
          <t>CORE-Supply Chain</t>
        </is>
      </c>
      <c r="C425" t="inlineStr">
        <is>
          <t>T1.6</t>
        </is>
      </c>
      <c r="D425" t="n">
        <v>3.7997</v>
      </c>
      <c r="E425" t="inlineStr">
        <is>
          <t>Comms Manager</t>
        </is>
      </c>
      <c r="F425">
        <f>SUMIF($A$2:$A$1594,A425,$D$2:$D$1594)</f>
        <v/>
      </c>
    </row>
    <row r="426">
      <c r="A426" t="inlineStr">
        <is>
          <t>Claussen, Laurence</t>
        </is>
      </c>
      <c r="B426" t="inlineStr">
        <is>
          <t>CORE-Supply Chain</t>
        </is>
      </c>
      <c r="C426" t="inlineStr">
        <is>
          <t>C5</t>
        </is>
      </c>
      <c r="D426" t="n">
        <v>7.7441</v>
      </c>
      <c r="E426" t="inlineStr">
        <is>
          <t>Comms Manager</t>
        </is>
      </c>
      <c r="F426">
        <f>SUMIF($A$2:$A$1594,A426,$D$2:$D$1594)</f>
        <v/>
      </c>
    </row>
    <row r="427">
      <c r="A427" t="inlineStr">
        <is>
          <t>Claussen, Laurence</t>
        </is>
      </c>
      <c r="B427" t="inlineStr">
        <is>
          <t>CORE-Supply Chain</t>
        </is>
      </c>
      <c r="C427" t="inlineStr">
        <is>
          <t>C6</t>
        </is>
      </c>
      <c r="D427" t="n">
        <v>17.1384</v>
      </c>
      <c r="E427" t="inlineStr">
        <is>
          <t>Comms Manager</t>
        </is>
      </c>
      <c r="F427">
        <f>SUMIF($A$2:$A$1594,A427,$D$2:$D$1594)</f>
        <v/>
      </c>
    </row>
    <row r="428">
      <c r="A428" t="inlineStr">
        <is>
          <t>Claussen, Laurence</t>
        </is>
      </c>
      <c r="B428" t="inlineStr">
        <is>
          <t>CORE-Supply Chain</t>
        </is>
      </c>
      <c r="C428" t="inlineStr">
        <is>
          <t>C7</t>
        </is>
      </c>
      <c r="D428" t="n">
        <v>8.808</v>
      </c>
      <c r="E428" t="inlineStr">
        <is>
          <t>Comms Manager</t>
        </is>
      </c>
      <c r="F428">
        <f>SUMIF($A$2:$A$1594,A428,$D$2:$D$1594)</f>
        <v/>
      </c>
    </row>
    <row r="429">
      <c r="A429" t="inlineStr">
        <is>
          <t>Loehr, Caitlin</t>
        </is>
      </c>
      <c r="B429" t="inlineStr">
        <is>
          <t>CORE-Supply Chain</t>
        </is>
      </c>
      <c r="C429" t="inlineStr">
        <is>
          <t>T1.6</t>
        </is>
      </c>
      <c r="D429" t="n">
        <v>4.0556</v>
      </c>
      <c r="E429" t="inlineStr">
        <is>
          <t>Senior Tech Advisor - Digital</t>
        </is>
      </c>
      <c r="F429">
        <f>SUMIF($A$2:$A$1594,A429,$D$2:$D$1594)</f>
        <v/>
      </c>
    </row>
    <row r="430">
      <c r="A430" t="inlineStr">
        <is>
          <t>Loehr, Caitlin</t>
        </is>
      </c>
      <c r="B430" t="inlineStr">
        <is>
          <t>CORE-Supply Chain</t>
        </is>
      </c>
      <c r="C430" t="inlineStr">
        <is>
          <t>C5</t>
        </is>
      </c>
      <c r="D430" t="n">
        <v>8.265599999999999</v>
      </c>
      <c r="E430" t="inlineStr">
        <is>
          <t>Senior Tech Advisor - Digital</t>
        </is>
      </c>
      <c r="F430">
        <f>SUMIF($A$2:$A$1594,A430,$D$2:$D$1594)</f>
        <v/>
      </c>
    </row>
    <row r="431">
      <c r="A431" t="inlineStr">
        <is>
          <t>Loehr, Caitlin</t>
        </is>
      </c>
      <c r="B431" t="inlineStr">
        <is>
          <t>CORE-Supply Chain</t>
        </is>
      </c>
      <c r="C431" t="inlineStr">
        <is>
          <t>C6</t>
        </is>
      </c>
      <c r="D431" t="n">
        <v>18.2925</v>
      </c>
      <c r="E431" t="inlineStr">
        <is>
          <t>Senior Tech Advisor - Digital</t>
        </is>
      </c>
      <c r="F431">
        <f>SUMIF($A$2:$A$1594,A431,$D$2:$D$1594)</f>
        <v/>
      </c>
    </row>
    <row r="432">
      <c r="A432" t="inlineStr">
        <is>
          <t>Loehr, Caitlin</t>
        </is>
      </c>
      <c r="B432" t="inlineStr">
        <is>
          <t>CORE-Supply Chain</t>
        </is>
      </c>
      <c r="C432" t="inlineStr">
        <is>
          <t>C7</t>
        </is>
      </c>
      <c r="D432" t="n">
        <v>9.401199999999999</v>
      </c>
      <c r="E432" t="inlineStr">
        <is>
          <t>Senior Tech Advisor - Digital</t>
        </is>
      </c>
      <c r="F432">
        <f>SUMIF($A$2:$A$1594,A432,$D$2:$D$1594)</f>
        <v/>
      </c>
    </row>
    <row r="433">
      <c r="A433" t="inlineStr">
        <is>
          <t>Judice, Nicole</t>
        </is>
      </c>
      <c r="B433" t="inlineStr">
        <is>
          <t>CORE-Supply Chain</t>
        </is>
      </c>
      <c r="C433" t="inlineStr">
        <is>
          <t>T1.6</t>
        </is>
      </c>
      <c r="D433" t="n">
        <v>7.0051</v>
      </c>
      <c r="E433" t="inlineStr">
        <is>
          <t xml:space="preserve">Director Pool </t>
        </is>
      </c>
      <c r="F433">
        <f>SUMIF($A$2:$A$1594,A433,$D$2:$D$1594)</f>
        <v/>
      </c>
    </row>
    <row r="434">
      <c r="A434" t="inlineStr">
        <is>
          <t>Judice, Nicole</t>
        </is>
      </c>
      <c r="B434" t="inlineStr">
        <is>
          <t>CORE-Supply Chain</t>
        </is>
      </c>
      <c r="C434" t="inlineStr">
        <is>
          <t>C5</t>
        </is>
      </c>
      <c r="D434" t="n">
        <v>14.277</v>
      </c>
      <c r="E434" t="inlineStr">
        <is>
          <t xml:space="preserve">Director Pool </t>
        </is>
      </c>
      <c r="F434">
        <f>SUMIF($A$2:$A$1594,A434,$D$2:$D$1594)</f>
        <v/>
      </c>
    </row>
    <row r="435">
      <c r="A435" t="inlineStr">
        <is>
          <t>Judice, Nicole</t>
        </is>
      </c>
      <c r="B435" t="inlineStr">
        <is>
          <t>CORE-Supply Chain</t>
        </is>
      </c>
      <c r="C435" t="inlineStr">
        <is>
          <t>C6</t>
        </is>
      </c>
      <c r="D435" t="n">
        <v>31.5961</v>
      </c>
      <c r="E435" t="inlineStr">
        <is>
          <t xml:space="preserve">Director Pool </t>
        </is>
      </c>
      <c r="F435">
        <f>SUMIF($A$2:$A$1594,A435,$D$2:$D$1594)</f>
        <v/>
      </c>
    </row>
    <row r="436">
      <c r="A436" t="inlineStr">
        <is>
          <t>Judice, Nicole</t>
        </is>
      </c>
      <c r="B436" t="inlineStr">
        <is>
          <t>CORE-Supply Chain</t>
        </is>
      </c>
      <c r="C436" t="inlineStr">
        <is>
          <t>C7</t>
        </is>
      </c>
      <c r="D436" t="n">
        <v>16.2384</v>
      </c>
      <c r="E436" t="inlineStr">
        <is>
          <t xml:space="preserve">Director Pool </t>
        </is>
      </c>
      <c r="F436">
        <f>SUMIF($A$2:$A$1594,A436,$D$2:$D$1594)</f>
        <v/>
      </c>
    </row>
    <row r="437">
      <c r="A437" t="inlineStr">
        <is>
          <t>Clanton, Kaley</t>
        </is>
      </c>
      <c r="B437" t="inlineStr">
        <is>
          <t>CORE-Supply Chain</t>
        </is>
      </c>
      <c r="C437" t="inlineStr">
        <is>
          <t>T1.6</t>
        </is>
      </c>
      <c r="D437" t="n">
        <v>17</v>
      </c>
      <c r="E437" t="inlineStr">
        <is>
          <t>Associate Pool</t>
        </is>
      </c>
      <c r="F437">
        <f>SUMIF($A$2:$A$1594,A437,$D$2:$D$1594)</f>
        <v/>
      </c>
    </row>
    <row r="438">
      <c r="A438" t="inlineStr">
        <is>
          <t>Clanton, Kaley</t>
        </is>
      </c>
      <c r="B438" t="inlineStr">
        <is>
          <t>CORE-Supply Chain</t>
        </is>
      </c>
      <c r="C438" t="inlineStr">
        <is>
          <t>C5</t>
        </is>
      </c>
      <c r="D438" t="n">
        <v>33.8294</v>
      </c>
      <c r="E438" t="inlineStr">
        <is>
          <t>Associate Pool</t>
        </is>
      </c>
      <c r="F438">
        <f>SUMIF($A$2:$A$1594,A438,$D$2:$D$1594)</f>
        <v/>
      </c>
    </row>
    <row r="439">
      <c r="A439" t="inlineStr">
        <is>
          <t>Clanton, Kaley</t>
        </is>
      </c>
      <c r="B439" t="inlineStr">
        <is>
          <t>CORE-Supply Chain</t>
        </is>
      </c>
      <c r="C439" t="inlineStr">
        <is>
          <t>C6</t>
        </is>
      </c>
      <c r="D439" t="n">
        <v>71</v>
      </c>
      <c r="E439" t="inlineStr">
        <is>
          <t>Associate Pool</t>
        </is>
      </c>
      <c r="F439">
        <f>SUMIF($A$2:$A$1594,A439,$D$2:$D$1594)</f>
        <v/>
      </c>
    </row>
    <row r="440">
      <c r="A440" t="inlineStr">
        <is>
          <t>Clanton, Kaley</t>
        </is>
      </c>
      <c r="B440" t="inlineStr">
        <is>
          <t>CORE-Supply Chain</t>
        </is>
      </c>
      <c r="C440" t="inlineStr">
        <is>
          <t>C7</t>
        </is>
      </c>
      <c r="D440" t="n">
        <v>38</v>
      </c>
      <c r="E440" t="inlineStr">
        <is>
          <t>Associate Pool</t>
        </is>
      </c>
      <c r="F440">
        <f>SUMIF($A$2:$A$1594,A440,$D$2:$D$1594)</f>
        <v/>
      </c>
    </row>
    <row r="441">
      <c r="A441" t="inlineStr">
        <is>
          <t>Berihun, Tewodros</t>
        </is>
      </c>
      <c r="B441" t="inlineStr">
        <is>
          <t>CORE-Supply Chain</t>
        </is>
      </c>
      <c r="C441" t="inlineStr">
        <is>
          <t>T1.6</t>
        </is>
      </c>
      <c r="D441" t="n">
        <v>7.4198</v>
      </c>
      <c r="E441" t="inlineStr">
        <is>
          <t>Senior Data Scientist</t>
        </is>
      </c>
      <c r="F441">
        <f>SUMIF($A$2:$A$1594,A441,$D$2:$D$1594)</f>
        <v/>
      </c>
    </row>
    <row r="442">
      <c r="A442" t="inlineStr">
        <is>
          <t>Berihun, Tewodros</t>
        </is>
      </c>
      <c r="B442" t="inlineStr">
        <is>
          <t>CORE-Supply Chain</t>
        </is>
      </c>
      <c r="C442" t="inlineStr">
        <is>
          <t>C5</t>
        </is>
      </c>
      <c r="D442" t="n">
        <v>15.1223</v>
      </c>
      <c r="E442" t="inlineStr">
        <is>
          <t>Senior Data Scientist</t>
        </is>
      </c>
      <c r="F442">
        <f>SUMIF($A$2:$A$1594,A442,$D$2:$D$1594)</f>
        <v/>
      </c>
    </row>
    <row r="443">
      <c r="A443" t="inlineStr">
        <is>
          <t>Berihun, Tewodros</t>
        </is>
      </c>
      <c r="B443" t="inlineStr">
        <is>
          <t>CORE-Supply Chain</t>
        </is>
      </c>
      <c r="C443" t="inlineStr">
        <is>
          <t>C6</t>
        </is>
      </c>
      <c r="D443" t="n">
        <v>33.4669</v>
      </c>
      <c r="E443" t="inlineStr">
        <is>
          <t>Senior Data Scientist</t>
        </is>
      </c>
      <c r="F443">
        <f>SUMIF($A$2:$A$1594,A443,$D$2:$D$1594)</f>
        <v/>
      </c>
    </row>
    <row r="444">
      <c r="A444" t="inlineStr">
        <is>
          <t>Berihun, Tewodros</t>
        </is>
      </c>
      <c r="B444" t="inlineStr">
        <is>
          <t>CORE-Supply Chain</t>
        </is>
      </c>
      <c r="C444" t="inlineStr">
        <is>
          <t>C7</t>
        </is>
      </c>
      <c r="D444" t="n">
        <v>17.1999</v>
      </c>
      <c r="E444" t="inlineStr">
        <is>
          <t>Senior Data Scientist</t>
        </is>
      </c>
      <c r="F444">
        <f>SUMIF($A$2:$A$1594,A444,$D$2:$D$1594)</f>
        <v/>
      </c>
    </row>
    <row r="445">
      <c r="A445" t="inlineStr">
        <is>
          <t>Saint Germain, Maya</t>
        </is>
      </c>
      <c r="B445" t="inlineStr">
        <is>
          <t>CORE-Supply Chain</t>
        </is>
      </c>
      <c r="C445" t="inlineStr">
        <is>
          <t>T1.6</t>
        </is>
      </c>
      <c r="D445" t="n">
        <v>10.5997</v>
      </c>
      <c r="E445" t="inlineStr">
        <is>
          <t>Program Manager</t>
        </is>
      </c>
      <c r="F445">
        <f>SUMIF($A$2:$A$1594,A445,$D$2:$D$1594)</f>
        <v/>
      </c>
    </row>
    <row r="446">
      <c r="A446" t="inlineStr">
        <is>
          <t>Saint Germain, Maya</t>
        </is>
      </c>
      <c r="B446" t="inlineStr">
        <is>
          <t>CORE-Supply Chain</t>
        </is>
      </c>
      <c r="C446" t="inlineStr">
        <is>
          <t>C5</t>
        </is>
      </c>
      <c r="D446" t="n">
        <v>21.6033</v>
      </c>
      <c r="E446" t="inlineStr">
        <is>
          <t>Program Manager</t>
        </is>
      </c>
      <c r="F446">
        <f>SUMIF($A$2:$A$1594,A446,$D$2:$D$1594)</f>
        <v/>
      </c>
    </row>
    <row r="447">
      <c r="A447" t="inlineStr">
        <is>
          <t>Saint Germain, Maya</t>
        </is>
      </c>
      <c r="B447" t="inlineStr">
        <is>
          <t>CORE-Supply Chain</t>
        </is>
      </c>
      <c r="C447" t="inlineStr">
        <is>
          <t>C6</t>
        </is>
      </c>
      <c r="D447" t="n">
        <v>47.8099</v>
      </c>
      <c r="E447" t="inlineStr">
        <is>
          <t>Program Manager</t>
        </is>
      </c>
      <c r="F447">
        <f>SUMIF($A$2:$A$1594,A447,$D$2:$D$1594)</f>
        <v/>
      </c>
    </row>
    <row r="448">
      <c r="A448" t="inlineStr">
        <is>
          <t>Saint Germain, Maya</t>
        </is>
      </c>
      <c r="B448" t="inlineStr">
        <is>
          <t>CORE-Supply Chain</t>
        </is>
      </c>
      <c r="C448" t="inlineStr">
        <is>
          <t>C7</t>
        </is>
      </c>
      <c r="D448" t="n">
        <v>24.5712</v>
      </c>
      <c r="E448" t="inlineStr">
        <is>
          <t>Program Manager</t>
        </is>
      </c>
      <c r="F448">
        <f>SUMIF($A$2:$A$1594,A448,$D$2:$D$1594)</f>
        <v/>
      </c>
    </row>
    <row r="449">
      <c r="A449" t="inlineStr">
        <is>
          <t>DiVenanzo, Lauren</t>
        </is>
      </c>
      <c r="B449" t="inlineStr">
        <is>
          <t>CORE-Supply Chain</t>
        </is>
      </c>
      <c r="C449" t="inlineStr">
        <is>
          <t>T1.6</t>
        </is>
      </c>
      <c r="D449" t="n">
        <v>10.5997</v>
      </c>
      <c r="E449" t="inlineStr">
        <is>
          <t>Senior Tech Advisor - Digital</t>
        </is>
      </c>
      <c r="F449">
        <f>SUMIF($A$2:$A$1594,A449,$D$2:$D$1594)</f>
        <v/>
      </c>
    </row>
    <row r="450">
      <c r="A450" t="inlineStr">
        <is>
          <t>DiVenanzo, Lauren</t>
        </is>
      </c>
      <c r="B450" t="inlineStr">
        <is>
          <t>CORE-Supply Chain</t>
        </is>
      </c>
      <c r="C450" t="inlineStr">
        <is>
          <t>C5</t>
        </is>
      </c>
      <c r="D450" t="n">
        <v>21.6033</v>
      </c>
      <c r="E450" t="inlineStr">
        <is>
          <t>Senior Tech Advisor - Digital</t>
        </is>
      </c>
      <c r="F450">
        <f>SUMIF($A$2:$A$1594,A450,$D$2:$D$1594)</f>
        <v/>
      </c>
    </row>
    <row r="451">
      <c r="A451" t="inlineStr">
        <is>
          <t>DiVenanzo, Lauren</t>
        </is>
      </c>
      <c r="B451" t="inlineStr">
        <is>
          <t>CORE-Supply Chain</t>
        </is>
      </c>
      <c r="C451" t="inlineStr">
        <is>
          <t>C6</t>
        </is>
      </c>
      <c r="D451" t="n">
        <v>47.8099</v>
      </c>
      <c r="E451" t="inlineStr">
        <is>
          <t>Senior Tech Advisor - Digital</t>
        </is>
      </c>
      <c r="F451">
        <f>SUMIF($A$2:$A$1594,A451,$D$2:$D$1594)</f>
        <v/>
      </c>
    </row>
    <row r="452">
      <c r="A452" t="inlineStr">
        <is>
          <t>DiVenanzo, Lauren</t>
        </is>
      </c>
      <c r="B452" t="inlineStr">
        <is>
          <t>CORE-Supply Chain</t>
        </is>
      </c>
      <c r="C452" t="inlineStr">
        <is>
          <t>C7</t>
        </is>
      </c>
      <c r="D452" t="n">
        <v>24.5712</v>
      </c>
      <c r="E452" t="inlineStr">
        <is>
          <t>Senior Tech Advisor - Digital</t>
        </is>
      </c>
      <c r="F452">
        <f>SUMIF($A$2:$A$1594,A452,$D$2:$D$1594)</f>
        <v/>
      </c>
    </row>
    <row r="453">
      <c r="A453" t="inlineStr">
        <is>
          <t>Cavanaugh, Clint</t>
        </is>
      </c>
      <c r="B453" t="inlineStr">
        <is>
          <t>CORE-Supply Chain</t>
        </is>
      </c>
      <c r="C453" t="inlineStr">
        <is>
          <t>T1.6</t>
        </is>
      </c>
      <c r="D453" t="n">
        <v>2.673</v>
      </c>
      <c r="E453" t="inlineStr">
        <is>
          <t>Senior Health Director</t>
        </is>
      </c>
      <c r="F453">
        <f>SUMIF($A$2:$A$1594,A453,$D$2:$D$1594)</f>
        <v/>
      </c>
    </row>
    <row r="454">
      <c r="A454" t="inlineStr">
        <is>
          <t>Cavanaugh, Clint</t>
        </is>
      </c>
      <c r="B454" t="inlineStr">
        <is>
          <t>CORE-Supply Chain</t>
        </is>
      </c>
      <c r="C454" t="inlineStr">
        <is>
          <t>C5</t>
        </is>
      </c>
      <c r="D454" t="n">
        <v>5.4478</v>
      </c>
      <c r="E454" t="inlineStr">
        <is>
          <t>Senior Health Director</t>
        </is>
      </c>
      <c r="F454">
        <f>SUMIF($A$2:$A$1594,A454,$D$2:$D$1594)</f>
        <v/>
      </c>
    </row>
    <row r="455">
      <c r="A455" t="inlineStr">
        <is>
          <t>Cavanaugh, Clint</t>
        </is>
      </c>
      <c r="B455" t="inlineStr">
        <is>
          <t>CORE-Supply Chain</t>
        </is>
      </c>
      <c r="C455" t="inlineStr">
        <is>
          <t>C6</t>
        </is>
      </c>
      <c r="D455" t="n">
        <v>17.9617</v>
      </c>
      <c r="E455" t="inlineStr">
        <is>
          <t>Senior Health Director</t>
        </is>
      </c>
      <c r="F455">
        <f>SUMIF($A$2:$A$1594,A455,$D$2:$D$1594)</f>
        <v/>
      </c>
    </row>
    <row r="456">
      <c r="A456" t="inlineStr">
        <is>
          <t>Cavanaugh, Clint</t>
        </is>
      </c>
      <c r="B456" t="inlineStr">
        <is>
          <t>CORE-Supply Chain</t>
        </is>
      </c>
      <c r="C456" t="inlineStr">
        <is>
          <t>C7</t>
        </is>
      </c>
      <c r="D456" t="n">
        <v>0.2909</v>
      </c>
      <c r="E456" t="inlineStr">
        <is>
          <t>Senior Health Director</t>
        </is>
      </c>
      <c r="F456">
        <f>SUMIF($A$2:$A$1594,A456,$D$2:$D$1594)</f>
        <v/>
      </c>
    </row>
    <row r="457">
      <c r="A457" t="inlineStr">
        <is>
          <t>Mathias, John</t>
        </is>
      </c>
      <c r="B457" t="inlineStr">
        <is>
          <t>CORE-Supply Chain</t>
        </is>
      </c>
      <c r="C457" t="inlineStr">
        <is>
          <t>T1.6</t>
        </is>
      </c>
      <c r="D457" t="n">
        <v>4.4669</v>
      </c>
      <c r="E457" t="inlineStr">
        <is>
          <t>Operations Director</t>
        </is>
      </c>
      <c r="F457">
        <f>SUMIF($A$2:$A$1594,A457,$D$2:$D$1594)</f>
        <v/>
      </c>
    </row>
    <row r="458">
      <c r="A458" t="inlineStr">
        <is>
          <t>Mathias, John</t>
        </is>
      </c>
      <c r="B458" t="inlineStr">
        <is>
          <t>CORE-Supply Chain</t>
        </is>
      </c>
      <c r="C458" t="inlineStr">
        <is>
          <t>C5</t>
        </is>
      </c>
      <c r="D458" t="n">
        <v>9.103999999999999</v>
      </c>
      <c r="E458" t="inlineStr">
        <is>
          <t>Operations Director</t>
        </is>
      </c>
      <c r="F458">
        <f>SUMIF($A$2:$A$1594,A458,$D$2:$D$1594)</f>
        <v/>
      </c>
    </row>
    <row r="459">
      <c r="A459" t="inlineStr">
        <is>
          <t>Mathias, John</t>
        </is>
      </c>
      <c r="B459" t="inlineStr">
        <is>
          <t>CORE-Supply Chain</t>
        </is>
      </c>
      <c r="C459" t="inlineStr">
        <is>
          <t>C6</t>
        </is>
      </c>
      <c r="D459" t="n">
        <v>20.1478</v>
      </c>
      <c r="E459" t="inlineStr">
        <is>
          <t>Operations Director</t>
        </is>
      </c>
      <c r="F459">
        <f>SUMIF($A$2:$A$1594,A459,$D$2:$D$1594)</f>
        <v/>
      </c>
    </row>
    <row r="460">
      <c r="A460" t="inlineStr">
        <is>
          <t>Mathias, John</t>
        </is>
      </c>
      <c r="B460" t="inlineStr">
        <is>
          <t>CORE-Supply Chain</t>
        </is>
      </c>
      <c r="C460" t="inlineStr">
        <is>
          <t>C7</t>
        </is>
      </c>
      <c r="D460" t="n">
        <v>10.3547</v>
      </c>
      <c r="E460" t="inlineStr">
        <is>
          <t>Operations Director</t>
        </is>
      </c>
      <c r="F460">
        <f>SUMIF($A$2:$A$1594,A460,$D$2:$D$1594)</f>
        <v/>
      </c>
    </row>
    <row r="461">
      <c r="A461" t="inlineStr">
        <is>
          <t>Misomali, Mark</t>
        </is>
      </c>
      <c r="B461" t="inlineStr">
        <is>
          <t>CORE-Supply Chain</t>
        </is>
      </c>
      <c r="C461" t="inlineStr">
        <is>
          <t>T1.6</t>
        </is>
      </c>
      <c r="D461" t="n">
        <v>4.4669</v>
      </c>
      <c r="E461" t="inlineStr">
        <is>
          <t xml:space="preserve">Operations Sr Finance Manager   </t>
        </is>
      </c>
      <c r="F461">
        <f>SUMIF($A$2:$A$1594,A461,$D$2:$D$1594)</f>
        <v/>
      </c>
    </row>
    <row r="462">
      <c r="A462" t="inlineStr">
        <is>
          <t>Misomali, Mark</t>
        </is>
      </c>
      <c r="B462" t="inlineStr">
        <is>
          <t>CORE-Supply Chain</t>
        </is>
      </c>
      <c r="C462" t="inlineStr">
        <is>
          <t>C5</t>
        </is>
      </c>
      <c r="D462" t="n">
        <v>9.103999999999999</v>
      </c>
      <c r="E462" t="inlineStr">
        <is>
          <t xml:space="preserve">Operations Sr Finance Manager   </t>
        </is>
      </c>
      <c r="F462">
        <f>SUMIF($A$2:$A$1594,A462,$D$2:$D$1594)</f>
        <v/>
      </c>
    </row>
    <row r="463">
      <c r="A463" t="inlineStr">
        <is>
          <t>Misomali, Mark</t>
        </is>
      </c>
      <c r="B463" t="inlineStr">
        <is>
          <t>CORE-Supply Chain</t>
        </is>
      </c>
      <c r="C463" t="inlineStr">
        <is>
          <t>C6</t>
        </is>
      </c>
      <c r="D463" t="n">
        <v>20.1478</v>
      </c>
      <c r="E463" t="inlineStr">
        <is>
          <t xml:space="preserve">Operations Sr Finance Manager   </t>
        </is>
      </c>
      <c r="F463">
        <f>SUMIF($A$2:$A$1594,A463,$D$2:$D$1594)</f>
        <v/>
      </c>
    </row>
    <row r="464">
      <c r="A464" t="inlineStr">
        <is>
          <t>Misomali, Mark</t>
        </is>
      </c>
      <c r="B464" t="inlineStr">
        <is>
          <t>CORE-Supply Chain</t>
        </is>
      </c>
      <c r="C464" t="inlineStr">
        <is>
          <t>C7</t>
        </is>
      </c>
      <c r="D464" t="n">
        <v>10.3547</v>
      </c>
      <c r="E464" t="inlineStr">
        <is>
          <t xml:space="preserve">Operations Sr Finance Manager   </t>
        </is>
      </c>
      <c r="F464">
        <f>SUMIF($A$2:$A$1594,A464,$D$2:$D$1594)</f>
        <v/>
      </c>
    </row>
    <row r="465">
      <c r="A465" t="inlineStr">
        <is>
          <t>Noorzai, Mahmood</t>
        </is>
      </c>
      <c r="B465" t="inlineStr">
        <is>
          <t>CORE-Supply Chain</t>
        </is>
      </c>
      <c r="C465" t="inlineStr">
        <is>
          <t>T1.6</t>
        </is>
      </c>
      <c r="D465" t="n">
        <v>4.4669</v>
      </c>
      <c r="E465" t="inlineStr">
        <is>
          <t>Operations Finance Associate</t>
        </is>
      </c>
      <c r="F465">
        <f>SUMIF($A$2:$A$1594,A465,$D$2:$D$1594)</f>
        <v/>
      </c>
    </row>
    <row r="466">
      <c r="A466" t="inlineStr">
        <is>
          <t>Noorzai, Mahmood</t>
        </is>
      </c>
      <c r="B466" t="inlineStr">
        <is>
          <t>CORE-Supply Chain</t>
        </is>
      </c>
      <c r="C466" t="inlineStr">
        <is>
          <t>C5</t>
        </is>
      </c>
      <c r="D466" t="n">
        <v>9.103999999999999</v>
      </c>
      <c r="E466" t="inlineStr">
        <is>
          <t>Operations Finance Associate</t>
        </is>
      </c>
      <c r="F466">
        <f>SUMIF($A$2:$A$1594,A466,$D$2:$D$1594)</f>
        <v/>
      </c>
    </row>
    <row r="467">
      <c r="A467" t="inlineStr">
        <is>
          <t>Noorzai, Mahmood</t>
        </is>
      </c>
      <c r="B467" t="inlineStr">
        <is>
          <t>CORE-Supply Chain</t>
        </is>
      </c>
      <c r="C467" t="inlineStr">
        <is>
          <t>C6</t>
        </is>
      </c>
      <c r="D467" t="n">
        <v>20.1478</v>
      </c>
      <c r="E467" t="inlineStr">
        <is>
          <t>Operations Finance Associate</t>
        </is>
      </c>
      <c r="F467">
        <f>SUMIF($A$2:$A$1594,A467,$D$2:$D$1594)</f>
        <v/>
      </c>
    </row>
    <row r="468">
      <c r="A468" t="inlineStr">
        <is>
          <t>Noorzai, Mahmood</t>
        </is>
      </c>
      <c r="B468" t="inlineStr">
        <is>
          <t>CORE-Supply Chain</t>
        </is>
      </c>
      <c r="C468" t="inlineStr">
        <is>
          <t>C7</t>
        </is>
      </c>
      <c r="D468" t="n">
        <v>10.3547</v>
      </c>
      <c r="E468" t="inlineStr">
        <is>
          <t>Operations Finance Associate</t>
        </is>
      </c>
      <c r="F468">
        <f>SUMIF($A$2:$A$1594,A468,$D$2:$D$1594)</f>
        <v/>
      </c>
    </row>
    <row r="469">
      <c r="A469" t="inlineStr">
        <is>
          <t>Bradford, Stephanie</t>
        </is>
      </c>
      <c r="B469" t="inlineStr">
        <is>
          <t>CORE-Supply Chain</t>
        </is>
      </c>
      <c r="C469" t="inlineStr">
        <is>
          <t>T1.6</t>
        </is>
      </c>
      <c r="D469" t="n">
        <v>13.6041</v>
      </c>
      <c r="E469" t="inlineStr">
        <is>
          <t>Operations Senior Manager Pool-17</t>
        </is>
      </c>
      <c r="F469">
        <f>SUMIF($A$2:$A$1594,A469,$D$2:$D$1594)</f>
        <v/>
      </c>
    </row>
    <row r="470">
      <c r="A470" t="inlineStr">
        <is>
          <t>Bradford, Stephanie</t>
        </is>
      </c>
      <c r="B470" t="inlineStr">
        <is>
          <t>CORE-Supply Chain</t>
        </is>
      </c>
      <c r="C470" t="inlineStr">
        <is>
          <t>C5</t>
        </is>
      </c>
      <c r="D470" t="n">
        <v>27.7265</v>
      </c>
      <c r="E470" t="inlineStr">
        <is>
          <t>Operations Senior Manager Pool-17</t>
        </is>
      </c>
      <c r="F470">
        <f>SUMIF($A$2:$A$1594,A470,$D$2:$D$1594)</f>
        <v/>
      </c>
    </row>
    <row r="471">
      <c r="A471" t="inlineStr">
        <is>
          <t>Bradford, Stephanie</t>
        </is>
      </c>
      <c r="B471" t="inlineStr">
        <is>
          <t>CORE-Supply Chain</t>
        </is>
      </c>
      <c r="C471" t="inlineStr">
        <is>
          <t>C6</t>
        </is>
      </c>
      <c r="D471" t="n">
        <v>61.361</v>
      </c>
      <c r="E471" t="inlineStr">
        <is>
          <t>Operations Senior Manager Pool-17</t>
        </is>
      </c>
      <c r="F471">
        <f>SUMIF($A$2:$A$1594,A471,$D$2:$D$1594)</f>
        <v/>
      </c>
    </row>
    <row r="472">
      <c r="A472" t="inlineStr">
        <is>
          <t>Bradford, Stephanie</t>
        </is>
      </c>
      <c r="B472" t="inlineStr">
        <is>
          <t>CORE-Supply Chain</t>
        </is>
      </c>
      <c r="C472" t="inlineStr">
        <is>
          <t>C7</t>
        </is>
      </c>
      <c r="D472" t="n">
        <v>31.5356</v>
      </c>
      <c r="E472" t="inlineStr">
        <is>
          <t>Operations Senior Manager Pool-17</t>
        </is>
      </c>
      <c r="F472">
        <f>SUMIF($A$2:$A$1594,A472,$D$2:$D$1594)</f>
        <v/>
      </c>
    </row>
    <row r="473">
      <c r="A473" t="inlineStr">
        <is>
          <t>Nabeel, Shayan</t>
        </is>
      </c>
      <c r="B473" t="inlineStr">
        <is>
          <t>CORE-Supply Chain</t>
        </is>
      </c>
      <c r="C473" t="inlineStr">
        <is>
          <t>T1.6</t>
        </is>
      </c>
      <c r="D473" t="n">
        <v>5.9148</v>
      </c>
      <c r="E473" t="inlineStr">
        <is>
          <t>Operations Manager level - 16</t>
        </is>
      </c>
      <c r="F473">
        <f>SUMIF($A$2:$A$1594,A473,$D$2:$D$1594)</f>
        <v/>
      </c>
    </row>
    <row r="474">
      <c r="A474" t="inlineStr">
        <is>
          <t>Nabeel, Shayan</t>
        </is>
      </c>
      <c r="B474" t="inlineStr">
        <is>
          <t>CORE-Supply Chain</t>
        </is>
      </c>
      <c r="C474" t="inlineStr">
        <is>
          <t>C5</t>
        </is>
      </c>
      <c r="D474" t="n">
        <v>12.055</v>
      </c>
      <c r="E474" t="inlineStr">
        <is>
          <t>Operations Manager level - 16</t>
        </is>
      </c>
      <c r="F474">
        <f>SUMIF($A$2:$A$1594,A474,$D$2:$D$1594)</f>
        <v/>
      </c>
    </row>
    <row r="475">
      <c r="A475" t="inlineStr">
        <is>
          <t>Nabeel, Shayan</t>
        </is>
      </c>
      <c r="B475" t="inlineStr">
        <is>
          <t>CORE-Supply Chain</t>
        </is>
      </c>
      <c r="C475" t="inlineStr">
        <is>
          <t>C6</t>
        </is>
      </c>
      <c r="D475" t="n">
        <v>26.6787</v>
      </c>
      <c r="E475" t="inlineStr">
        <is>
          <t>Operations Manager level - 16</t>
        </is>
      </c>
      <c r="F475">
        <f>SUMIF($A$2:$A$1594,A475,$D$2:$D$1594)</f>
        <v/>
      </c>
    </row>
    <row r="476">
      <c r="A476" t="inlineStr">
        <is>
          <t>Nabeel, Shayan</t>
        </is>
      </c>
      <c r="B476" t="inlineStr">
        <is>
          <t>CORE-Supply Chain</t>
        </is>
      </c>
      <c r="C476" t="inlineStr">
        <is>
          <t>C7</t>
        </is>
      </c>
      <c r="D476" t="n">
        <v>13.7111</v>
      </c>
      <c r="E476" t="inlineStr">
        <is>
          <t>Operations Manager level - 16</t>
        </is>
      </c>
      <c r="F476">
        <f>SUMIF($A$2:$A$1594,A476,$D$2:$D$1594)</f>
        <v/>
      </c>
    </row>
    <row r="477">
      <c r="A477" t="inlineStr">
        <is>
          <t>Mawandia, Shreshth</t>
        </is>
      </c>
      <c r="B477" t="inlineStr">
        <is>
          <t>DRC</t>
        </is>
      </c>
      <c r="C477" t="inlineStr">
        <is>
          <t>DRC01</t>
        </is>
      </c>
      <c r="D477" t="n">
        <v>2</v>
      </c>
      <c r="E477" t="inlineStr">
        <is>
          <t>KP - Project Director</t>
        </is>
      </c>
      <c r="F477">
        <f>SUMIF($A$2:$A$1594,A477,$D$2:$D$1594)</f>
        <v/>
      </c>
    </row>
    <row r="478">
      <c r="A478" t="inlineStr">
        <is>
          <t>Mawandia, Shreshth</t>
        </is>
      </c>
      <c r="B478" t="inlineStr">
        <is>
          <t>DRC</t>
        </is>
      </c>
      <c r="C478" t="inlineStr">
        <is>
          <t>DRC03</t>
        </is>
      </c>
      <c r="D478" t="n">
        <v>2</v>
      </c>
      <c r="E478" t="inlineStr">
        <is>
          <t>KP - Project Director</t>
        </is>
      </c>
      <c r="F478">
        <f>SUMIF($A$2:$A$1594,A478,$D$2:$D$1594)</f>
        <v/>
      </c>
    </row>
    <row r="479">
      <c r="A479" t="inlineStr">
        <is>
          <t>Mawandia, Shreshth</t>
        </is>
      </c>
      <c r="B479" t="inlineStr">
        <is>
          <t>DRC</t>
        </is>
      </c>
      <c r="C479" t="inlineStr">
        <is>
          <t>DRC04</t>
        </is>
      </c>
      <c r="D479" t="n">
        <v>4</v>
      </c>
      <c r="E479" t="inlineStr">
        <is>
          <t>KP - Project Director</t>
        </is>
      </c>
      <c r="F479">
        <f>SUMIF($A$2:$A$1594,A479,$D$2:$D$1594)</f>
        <v/>
      </c>
    </row>
    <row r="480">
      <c r="A480" t="inlineStr">
        <is>
          <t>Mawandia, Shreshth</t>
        </is>
      </c>
      <c r="B480" t="inlineStr">
        <is>
          <t>DRC</t>
        </is>
      </c>
      <c r="C480" t="inlineStr">
        <is>
          <t>DRC05</t>
        </is>
      </c>
      <c r="D480" t="n">
        <v>2</v>
      </c>
      <c r="E480" t="inlineStr">
        <is>
          <t>KP - Project Director</t>
        </is>
      </c>
      <c r="F480">
        <f>SUMIF($A$2:$A$1594,A480,$D$2:$D$1594)</f>
        <v/>
      </c>
    </row>
    <row r="481">
      <c r="A481" t="inlineStr">
        <is>
          <t>Mawandia, Shreshth</t>
        </is>
      </c>
      <c r="B481" t="inlineStr">
        <is>
          <t>DRC</t>
        </is>
      </c>
      <c r="C481" t="inlineStr">
        <is>
          <t>DRC06</t>
        </is>
      </c>
      <c r="D481" t="n">
        <v>2</v>
      </c>
      <c r="E481" t="inlineStr">
        <is>
          <t>KP - Project Director</t>
        </is>
      </c>
      <c r="F481">
        <f>SUMIF($A$2:$A$1594,A481,$D$2:$D$1594)</f>
        <v/>
      </c>
    </row>
    <row r="482">
      <c r="A482" t="inlineStr">
        <is>
          <t>Mawandia, Shreshth</t>
        </is>
      </c>
      <c r="B482" t="inlineStr">
        <is>
          <t>DRC</t>
        </is>
      </c>
      <c r="C482" t="inlineStr">
        <is>
          <t>DRC07</t>
        </is>
      </c>
      <c r="D482" t="n">
        <v>2</v>
      </c>
      <c r="E482" t="inlineStr">
        <is>
          <t>KP - Project Director</t>
        </is>
      </c>
      <c r="F482">
        <f>SUMIF($A$2:$A$1594,A482,$D$2:$D$1594)</f>
        <v/>
      </c>
    </row>
    <row r="483">
      <c r="A483" t="inlineStr">
        <is>
          <t>Mawandia, Shreshth</t>
        </is>
      </c>
      <c r="B483" t="inlineStr">
        <is>
          <t>DRC</t>
        </is>
      </c>
      <c r="C483" t="inlineStr">
        <is>
          <t>DRC08</t>
        </is>
      </c>
      <c r="D483" t="n">
        <v>2</v>
      </c>
      <c r="E483" t="inlineStr">
        <is>
          <t>KP - Project Director</t>
        </is>
      </c>
      <c r="F483">
        <f>SUMIF($A$2:$A$1594,A483,$D$2:$D$1594)</f>
        <v/>
      </c>
    </row>
    <row r="484">
      <c r="A484" t="inlineStr">
        <is>
          <t>Mawandia, Shreshth</t>
        </is>
      </c>
      <c r="B484" t="inlineStr">
        <is>
          <t>DRC</t>
        </is>
      </c>
      <c r="C484" t="inlineStr">
        <is>
          <t>DRC09</t>
        </is>
      </c>
      <c r="D484" t="n">
        <v>3</v>
      </c>
      <c r="E484" t="inlineStr">
        <is>
          <t>KP - Project Director</t>
        </is>
      </c>
      <c r="F484">
        <f>SUMIF($A$2:$A$1594,A484,$D$2:$D$1594)</f>
        <v/>
      </c>
    </row>
    <row r="485">
      <c r="A485" t="inlineStr">
        <is>
          <t>Nigussie, Netsanet</t>
        </is>
      </c>
      <c r="B485" t="inlineStr">
        <is>
          <t>DRC</t>
        </is>
      </c>
      <c r="C485" t="inlineStr">
        <is>
          <t>DRC01</t>
        </is>
      </c>
      <c r="D485" t="n">
        <v>2</v>
      </c>
      <c r="E485" t="inlineStr">
        <is>
          <t>KP - Technical Director</t>
        </is>
      </c>
      <c r="F485">
        <f>SUMIF($A$2:$A$1594,A485,$D$2:$D$1594)</f>
        <v/>
      </c>
    </row>
    <row r="486">
      <c r="A486" t="inlineStr">
        <is>
          <t>Nigussie, Netsanet</t>
        </is>
      </c>
      <c r="B486" t="inlineStr">
        <is>
          <t>DRC</t>
        </is>
      </c>
      <c r="C486" t="inlineStr">
        <is>
          <t>DRC03</t>
        </is>
      </c>
      <c r="D486" t="n">
        <v>2</v>
      </c>
      <c r="E486" t="inlineStr">
        <is>
          <t>KP - Technical Director</t>
        </is>
      </c>
      <c r="F486">
        <f>SUMIF($A$2:$A$1594,A486,$D$2:$D$1594)</f>
        <v/>
      </c>
    </row>
    <row r="487">
      <c r="A487" t="inlineStr">
        <is>
          <t>Nigussie, Netsanet</t>
        </is>
      </c>
      <c r="B487" t="inlineStr">
        <is>
          <t>DRC</t>
        </is>
      </c>
      <c r="C487" t="inlineStr">
        <is>
          <t>DRC04</t>
        </is>
      </c>
      <c r="D487" t="n">
        <v>4</v>
      </c>
      <c r="E487" t="inlineStr">
        <is>
          <t>KP - Technical Director</t>
        </is>
      </c>
      <c r="F487">
        <f>SUMIF($A$2:$A$1594,A487,$D$2:$D$1594)</f>
        <v/>
      </c>
    </row>
    <row r="488">
      <c r="A488" t="inlineStr">
        <is>
          <t>Nigussie, Netsanet</t>
        </is>
      </c>
      <c r="B488" t="inlineStr">
        <is>
          <t>DRC</t>
        </is>
      </c>
      <c r="C488" t="inlineStr">
        <is>
          <t>DRC05</t>
        </is>
      </c>
      <c r="D488" t="n">
        <v>2</v>
      </c>
      <c r="E488" t="inlineStr">
        <is>
          <t>KP - Technical Director</t>
        </is>
      </c>
      <c r="F488">
        <f>SUMIF($A$2:$A$1594,A488,$D$2:$D$1594)</f>
        <v/>
      </c>
    </row>
    <row r="489">
      <c r="A489" t="inlineStr">
        <is>
          <t>Nigussie, Netsanet</t>
        </is>
      </c>
      <c r="B489" t="inlineStr">
        <is>
          <t>DRC</t>
        </is>
      </c>
      <c r="C489" t="inlineStr">
        <is>
          <t>DRC06</t>
        </is>
      </c>
      <c r="D489" t="n">
        <v>2</v>
      </c>
      <c r="E489" t="inlineStr">
        <is>
          <t>KP - Technical Director</t>
        </is>
      </c>
      <c r="F489">
        <f>SUMIF($A$2:$A$1594,A489,$D$2:$D$1594)</f>
        <v/>
      </c>
    </row>
    <row r="490">
      <c r="A490" t="inlineStr">
        <is>
          <t>Nigussie, Netsanet</t>
        </is>
      </c>
      <c r="B490" t="inlineStr">
        <is>
          <t>DRC</t>
        </is>
      </c>
      <c r="C490" t="inlineStr">
        <is>
          <t>DRC07</t>
        </is>
      </c>
      <c r="D490" t="n">
        <v>2</v>
      </c>
      <c r="E490" t="inlineStr">
        <is>
          <t>KP - Technical Director</t>
        </is>
      </c>
      <c r="F490">
        <f>SUMIF($A$2:$A$1594,A490,$D$2:$D$1594)</f>
        <v/>
      </c>
    </row>
    <row r="491">
      <c r="A491" t="inlineStr">
        <is>
          <t>Nigussie, Netsanet</t>
        </is>
      </c>
      <c r="B491" t="inlineStr">
        <is>
          <t>DRC</t>
        </is>
      </c>
      <c r="C491" t="inlineStr">
        <is>
          <t>DRC08</t>
        </is>
      </c>
      <c r="D491" t="n">
        <v>2</v>
      </c>
      <c r="E491" t="inlineStr">
        <is>
          <t>KP - Technical Director</t>
        </is>
      </c>
      <c r="F491">
        <f>SUMIF($A$2:$A$1594,A491,$D$2:$D$1594)</f>
        <v/>
      </c>
    </row>
    <row r="492">
      <c r="A492" t="inlineStr">
        <is>
          <t>Nigussie, Netsanet</t>
        </is>
      </c>
      <c r="B492" t="inlineStr">
        <is>
          <t>DRC</t>
        </is>
      </c>
      <c r="C492" t="inlineStr">
        <is>
          <t>DRC09</t>
        </is>
      </c>
      <c r="D492" t="n">
        <v>3</v>
      </c>
      <c r="E492" t="inlineStr">
        <is>
          <t>KP - Technical Director</t>
        </is>
      </c>
      <c r="F492">
        <f>SUMIF($A$2:$A$1594,A492,$D$2:$D$1594)</f>
        <v/>
      </c>
    </row>
    <row r="493">
      <c r="A493" t="inlineStr">
        <is>
          <t>Mensah, Margaret</t>
        </is>
      </c>
      <c r="B493" t="inlineStr">
        <is>
          <t>DRC</t>
        </is>
      </c>
      <c r="C493" t="inlineStr">
        <is>
          <t>DRC01</t>
        </is>
      </c>
      <c r="D493" t="n">
        <v>2</v>
      </c>
      <c r="E493" t="inlineStr">
        <is>
          <t>KP - Finance Director</t>
        </is>
      </c>
      <c r="F493">
        <f>SUMIF($A$2:$A$1594,A493,$D$2:$D$1594)</f>
        <v/>
      </c>
    </row>
    <row r="494">
      <c r="A494" t="inlineStr">
        <is>
          <t>Mensah, Margaret</t>
        </is>
      </c>
      <c r="B494" t="inlineStr">
        <is>
          <t>DRC</t>
        </is>
      </c>
      <c r="C494" t="inlineStr">
        <is>
          <t>DRC03</t>
        </is>
      </c>
      <c r="D494" t="n">
        <v>2</v>
      </c>
      <c r="E494" t="inlineStr">
        <is>
          <t>KP - Finance Director</t>
        </is>
      </c>
      <c r="F494">
        <f>SUMIF($A$2:$A$1594,A494,$D$2:$D$1594)</f>
        <v/>
      </c>
    </row>
    <row r="495">
      <c r="A495" t="inlineStr">
        <is>
          <t>Mensah, Margaret</t>
        </is>
      </c>
      <c r="B495" t="inlineStr">
        <is>
          <t>DRC</t>
        </is>
      </c>
      <c r="C495" t="inlineStr">
        <is>
          <t>DRC04</t>
        </is>
      </c>
      <c r="D495" t="n">
        <v>4</v>
      </c>
      <c r="E495" t="inlineStr">
        <is>
          <t>KP - Finance Director</t>
        </is>
      </c>
      <c r="F495">
        <f>SUMIF($A$2:$A$1594,A495,$D$2:$D$1594)</f>
        <v/>
      </c>
    </row>
    <row r="496">
      <c r="A496" t="inlineStr">
        <is>
          <t>Mensah, Margaret</t>
        </is>
      </c>
      <c r="B496" t="inlineStr">
        <is>
          <t>DRC</t>
        </is>
      </c>
      <c r="C496" t="inlineStr">
        <is>
          <t>DRC05</t>
        </is>
      </c>
      <c r="D496" t="n">
        <v>2</v>
      </c>
      <c r="E496" t="inlineStr">
        <is>
          <t>KP - Finance Director</t>
        </is>
      </c>
      <c r="F496">
        <f>SUMIF($A$2:$A$1594,A496,$D$2:$D$1594)</f>
        <v/>
      </c>
    </row>
    <row r="497">
      <c r="A497" t="inlineStr">
        <is>
          <t>Mensah, Margaret</t>
        </is>
      </c>
      <c r="B497" t="inlineStr">
        <is>
          <t>DRC</t>
        </is>
      </c>
      <c r="C497" t="inlineStr">
        <is>
          <t>DRC06</t>
        </is>
      </c>
      <c r="D497" t="n">
        <v>2</v>
      </c>
      <c r="E497" t="inlineStr">
        <is>
          <t>KP - Finance Director</t>
        </is>
      </c>
      <c r="F497">
        <f>SUMIF($A$2:$A$1594,A497,$D$2:$D$1594)</f>
        <v/>
      </c>
    </row>
    <row r="498">
      <c r="A498" t="inlineStr">
        <is>
          <t>Mensah, Margaret</t>
        </is>
      </c>
      <c r="B498" t="inlineStr">
        <is>
          <t>DRC</t>
        </is>
      </c>
      <c r="C498" t="inlineStr">
        <is>
          <t>DRC07</t>
        </is>
      </c>
      <c r="D498" t="n">
        <v>2</v>
      </c>
      <c r="E498" t="inlineStr">
        <is>
          <t>KP - Finance Director</t>
        </is>
      </c>
      <c r="F498">
        <f>SUMIF($A$2:$A$1594,A498,$D$2:$D$1594)</f>
        <v/>
      </c>
    </row>
    <row r="499">
      <c r="A499" t="inlineStr">
        <is>
          <t>Mensah, Margaret</t>
        </is>
      </c>
      <c r="B499" t="inlineStr">
        <is>
          <t>DRC</t>
        </is>
      </c>
      <c r="C499" t="inlineStr">
        <is>
          <t>DRC08</t>
        </is>
      </c>
      <c r="D499" t="n">
        <v>2</v>
      </c>
      <c r="E499" t="inlineStr">
        <is>
          <t>KP - Finance Director</t>
        </is>
      </c>
      <c r="F499">
        <f>SUMIF($A$2:$A$1594,A499,$D$2:$D$1594)</f>
        <v/>
      </c>
    </row>
    <row r="500">
      <c r="A500" t="inlineStr">
        <is>
          <t>Mensah, Margaret</t>
        </is>
      </c>
      <c r="B500" t="inlineStr">
        <is>
          <t>DRC</t>
        </is>
      </c>
      <c r="C500" t="inlineStr">
        <is>
          <t>DRC09</t>
        </is>
      </c>
      <c r="D500" t="n">
        <v>3</v>
      </c>
      <c r="E500" t="inlineStr">
        <is>
          <t>KP - Finance Director</t>
        </is>
      </c>
      <c r="F500">
        <f>SUMIF($A$2:$A$1594,A500,$D$2:$D$1594)</f>
        <v/>
      </c>
    </row>
    <row r="501">
      <c r="A501" t="inlineStr">
        <is>
          <t>Friedman, Jonathan</t>
        </is>
      </c>
      <c r="B501" t="inlineStr">
        <is>
          <t>DRC</t>
        </is>
      </c>
      <c r="C501" t="inlineStr">
        <is>
          <t>DRC01</t>
        </is>
      </c>
      <c r="D501" t="n">
        <v>2</v>
      </c>
      <c r="E501" t="inlineStr">
        <is>
          <t>AI/ML Lead</t>
        </is>
      </c>
      <c r="F501">
        <f>SUMIF($A$2:$A$1594,A501,$D$2:$D$1594)</f>
        <v/>
      </c>
    </row>
    <row r="502">
      <c r="A502" t="inlineStr">
        <is>
          <t>Friedman, Jonathan</t>
        </is>
      </c>
      <c r="B502" t="inlineStr">
        <is>
          <t>DRC</t>
        </is>
      </c>
      <c r="C502" t="inlineStr">
        <is>
          <t>DRC03</t>
        </is>
      </c>
      <c r="D502" t="n">
        <v>2</v>
      </c>
      <c r="E502" t="inlineStr">
        <is>
          <t>AI/ML Lead</t>
        </is>
      </c>
      <c r="F502">
        <f>SUMIF($A$2:$A$1594,A502,$D$2:$D$1594)</f>
        <v/>
      </c>
    </row>
    <row r="503">
      <c r="A503" t="inlineStr">
        <is>
          <t>Friedman, Jonathan</t>
        </is>
      </c>
      <c r="B503" t="inlineStr">
        <is>
          <t>DRC</t>
        </is>
      </c>
      <c r="C503" t="inlineStr">
        <is>
          <t>DRC04</t>
        </is>
      </c>
      <c r="D503" t="n">
        <v>4</v>
      </c>
      <c r="E503" t="inlineStr">
        <is>
          <t>AI/ML Lead</t>
        </is>
      </c>
      <c r="F503">
        <f>SUMIF($A$2:$A$1594,A503,$D$2:$D$1594)</f>
        <v/>
      </c>
    </row>
    <row r="504">
      <c r="A504" t="inlineStr">
        <is>
          <t>Friedman, Jonathan</t>
        </is>
      </c>
      <c r="B504" t="inlineStr">
        <is>
          <t>DRC</t>
        </is>
      </c>
      <c r="C504" t="inlineStr">
        <is>
          <t>DRC05</t>
        </is>
      </c>
      <c r="D504" t="n">
        <v>2</v>
      </c>
      <c r="E504" t="inlineStr">
        <is>
          <t>AI/ML Lead</t>
        </is>
      </c>
      <c r="F504">
        <f>SUMIF($A$2:$A$1594,A504,$D$2:$D$1594)</f>
        <v/>
      </c>
    </row>
    <row r="505">
      <c r="A505" t="inlineStr">
        <is>
          <t>Friedman, Jonathan</t>
        </is>
      </c>
      <c r="B505" t="inlineStr">
        <is>
          <t>DRC</t>
        </is>
      </c>
      <c r="C505" t="inlineStr">
        <is>
          <t>DRC06</t>
        </is>
      </c>
      <c r="D505" t="n">
        <v>2</v>
      </c>
      <c r="E505" t="inlineStr">
        <is>
          <t>AI/ML Lead</t>
        </is>
      </c>
      <c r="F505">
        <f>SUMIF($A$2:$A$1594,A505,$D$2:$D$1594)</f>
        <v/>
      </c>
    </row>
    <row r="506">
      <c r="A506" t="inlineStr">
        <is>
          <t>Friedman, Jonathan</t>
        </is>
      </c>
      <c r="B506" t="inlineStr">
        <is>
          <t>DRC</t>
        </is>
      </c>
      <c r="C506" t="inlineStr">
        <is>
          <t>DRC07</t>
        </is>
      </c>
      <c r="D506" t="n">
        <v>2</v>
      </c>
      <c r="E506" t="inlineStr">
        <is>
          <t>AI/ML Lead</t>
        </is>
      </c>
      <c r="F506">
        <f>SUMIF($A$2:$A$1594,A506,$D$2:$D$1594)</f>
        <v/>
      </c>
    </row>
    <row r="507">
      <c r="A507" t="inlineStr">
        <is>
          <t>Friedman, Jonathan</t>
        </is>
      </c>
      <c r="B507" t="inlineStr">
        <is>
          <t>DRC</t>
        </is>
      </c>
      <c r="C507" t="inlineStr">
        <is>
          <t>DRC08</t>
        </is>
      </c>
      <c r="D507" t="n">
        <v>2</v>
      </c>
      <c r="E507" t="inlineStr">
        <is>
          <t>AI/ML Lead</t>
        </is>
      </c>
      <c r="F507">
        <f>SUMIF($A$2:$A$1594,A507,$D$2:$D$1594)</f>
        <v/>
      </c>
    </row>
    <row r="508">
      <c r="A508" t="inlineStr">
        <is>
          <t>Friedman, Jonathan</t>
        </is>
      </c>
      <c r="B508" t="inlineStr">
        <is>
          <t>DRC</t>
        </is>
      </c>
      <c r="C508" t="inlineStr">
        <is>
          <t>DRC09</t>
        </is>
      </c>
      <c r="D508" t="n">
        <v>3</v>
      </c>
      <c r="E508" t="inlineStr">
        <is>
          <t>AI/ML Lead</t>
        </is>
      </c>
      <c r="F508">
        <f>SUMIF($A$2:$A$1594,A508,$D$2:$D$1594)</f>
        <v/>
      </c>
    </row>
    <row r="509">
      <c r="A509" t="inlineStr">
        <is>
          <t>Mavyuva, Boniface</t>
        </is>
      </c>
      <c r="B509" t="inlineStr">
        <is>
          <t>DRC</t>
        </is>
      </c>
      <c r="C509" t="inlineStr">
        <is>
          <t>DRC01</t>
        </is>
      </c>
      <c r="D509" t="n">
        <v>0.5</v>
      </c>
      <c r="E509" t="inlineStr">
        <is>
          <t>Dig Infrastructure Lead</t>
        </is>
      </c>
      <c r="F509">
        <f>SUMIF($A$2:$A$1594,A509,$D$2:$D$1594)</f>
        <v/>
      </c>
    </row>
    <row r="510">
      <c r="A510" t="inlineStr">
        <is>
          <t>Mavyuva, Boniface</t>
        </is>
      </c>
      <c r="B510" t="inlineStr">
        <is>
          <t>DRC</t>
        </is>
      </c>
      <c r="C510" t="inlineStr">
        <is>
          <t>DRC03</t>
        </is>
      </c>
      <c r="D510" t="n">
        <v>1</v>
      </c>
      <c r="E510" t="inlineStr">
        <is>
          <t>Dig Infrastructure Lead</t>
        </is>
      </c>
      <c r="F510">
        <f>SUMIF($A$2:$A$1594,A510,$D$2:$D$1594)</f>
        <v/>
      </c>
    </row>
    <row r="511">
      <c r="A511" t="inlineStr">
        <is>
          <t>Mavyuva, Boniface</t>
        </is>
      </c>
      <c r="B511" t="inlineStr">
        <is>
          <t>DRC</t>
        </is>
      </c>
      <c r="C511" t="inlineStr">
        <is>
          <t>DRC04</t>
        </is>
      </c>
      <c r="D511" t="n">
        <v>1.5</v>
      </c>
      <c r="E511" t="inlineStr">
        <is>
          <t>Dig Infrastructure Lead</t>
        </is>
      </c>
      <c r="F511">
        <f>SUMIF($A$2:$A$1594,A511,$D$2:$D$1594)</f>
        <v/>
      </c>
    </row>
    <row r="512">
      <c r="A512" t="inlineStr">
        <is>
          <t>Mavyuva, Boniface</t>
        </is>
      </c>
      <c r="B512" t="inlineStr">
        <is>
          <t>DRC</t>
        </is>
      </c>
      <c r="C512" t="inlineStr">
        <is>
          <t>DRC05</t>
        </is>
      </c>
      <c r="D512" t="n">
        <v>1</v>
      </c>
      <c r="E512" t="inlineStr">
        <is>
          <t>Dig Infrastructure Lead</t>
        </is>
      </c>
      <c r="F512">
        <f>SUMIF($A$2:$A$1594,A512,$D$2:$D$1594)</f>
        <v/>
      </c>
    </row>
    <row r="513">
      <c r="A513" t="inlineStr">
        <is>
          <t>Mavyuva, Boniface</t>
        </is>
      </c>
      <c r="B513" t="inlineStr">
        <is>
          <t>DRC</t>
        </is>
      </c>
      <c r="C513" t="inlineStr">
        <is>
          <t>DRC06</t>
        </is>
      </c>
      <c r="D513" t="n">
        <v>1</v>
      </c>
      <c r="E513" t="inlineStr">
        <is>
          <t>Dig Infrastructure Lead</t>
        </is>
      </c>
      <c r="F513">
        <f>SUMIF($A$2:$A$1594,A513,$D$2:$D$1594)</f>
        <v/>
      </c>
    </row>
    <row r="514">
      <c r="A514" t="inlineStr">
        <is>
          <t>Mavyuva, Boniface</t>
        </is>
      </c>
      <c r="B514" t="inlineStr">
        <is>
          <t>DRC</t>
        </is>
      </c>
      <c r="C514" t="inlineStr">
        <is>
          <t>DRC07</t>
        </is>
      </c>
      <c r="D514" t="n">
        <v>0.5</v>
      </c>
      <c r="E514" t="inlineStr">
        <is>
          <t>Dig Infrastructure Lead</t>
        </is>
      </c>
      <c r="F514">
        <f>SUMIF($A$2:$A$1594,A514,$D$2:$D$1594)</f>
        <v/>
      </c>
    </row>
    <row r="515">
      <c r="A515" t="inlineStr">
        <is>
          <t>Mavyuva, Boniface</t>
        </is>
      </c>
      <c r="B515" t="inlineStr">
        <is>
          <t>DRC</t>
        </is>
      </c>
      <c r="C515" t="inlineStr">
        <is>
          <t>DRC08</t>
        </is>
      </c>
      <c r="D515" t="n">
        <v>0.5</v>
      </c>
      <c r="E515" t="inlineStr">
        <is>
          <t>Dig Infrastructure Lead</t>
        </is>
      </c>
      <c r="F515">
        <f>SUMIF($A$2:$A$1594,A515,$D$2:$D$1594)</f>
        <v/>
      </c>
    </row>
    <row r="516">
      <c r="A516" t="inlineStr">
        <is>
          <t>Mavyuva, Boniface</t>
        </is>
      </c>
      <c r="B516" t="inlineStr">
        <is>
          <t>DRC</t>
        </is>
      </c>
      <c r="C516" t="inlineStr">
        <is>
          <t>DRC09</t>
        </is>
      </c>
      <c r="D516" t="n">
        <v>1</v>
      </c>
      <c r="E516" t="inlineStr">
        <is>
          <t>Dig Infrastructure Lead</t>
        </is>
      </c>
      <c r="F516">
        <f>SUMIF($A$2:$A$1594,A516,$D$2:$D$1594)</f>
        <v/>
      </c>
    </row>
    <row r="517">
      <c r="A517" t="inlineStr">
        <is>
          <t>Showalter, Caitlin</t>
        </is>
      </c>
      <c r="B517" t="inlineStr">
        <is>
          <t>DRC</t>
        </is>
      </c>
      <c r="C517" t="inlineStr">
        <is>
          <t>DRC01</t>
        </is>
      </c>
      <c r="D517" t="n">
        <v>2</v>
      </c>
      <c r="E517" t="inlineStr">
        <is>
          <t>M&amp;E and Learning</t>
        </is>
      </c>
      <c r="F517">
        <f>SUMIF($A$2:$A$1594,A517,$D$2:$D$1594)</f>
        <v/>
      </c>
    </row>
    <row r="518">
      <c r="A518" t="inlineStr">
        <is>
          <t>Showalter, Caitlin</t>
        </is>
      </c>
      <c r="B518" t="inlineStr">
        <is>
          <t>DRC</t>
        </is>
      </c>
      <c r="C518" t="inlineStr">
        <is>
          <t>DRC03</t>
        </is>
      </c>
      <c r="D518" t="n">
        <v>2</v>
      </c>
      <c r="E518" t="inlineStr">
        <is>
          <t>M&amp;E and Learning</t>
        </is>
      </c>
      <c r="F518">
        <f>SUMIF($A$2:$A$1594,A518,$D$2:$D$1594)</f>
        <v/>
      </c>
    </row>
    <row r="519">
      <c r="A519" t="inlineStr">
        <is>
          <t>Showalter, Caitlin</t>
        </is>
      </c>
      <c r="B519" t="inlineStr">
        <is>
          <t>DRC</t>
        </is>
      </c>
      <c r="C519" t="inlineStr">
        <is>
          <t>DRC04</t>
        </is>
      </c>
      <c r="D519" t="n">
        <v>4</v>
      </c>
      <c r="E519" t="inlineStr">
        <is>
          <t>M&amp;E and Learning</t>
        </is>
      </c>
      <c r="F519">
        <f>SUMIF($A$2:$A$1594,A519,$D$2:$D$1594)</f>
        <v/>
      </c>
    </row>
    <row r="520">
      <c r="A520" t="inlineStr">
        <is>
          <t>Showalter, Caitlin</t>
        </is>
      </c>
      <c r="B520" t="inlineStr">
        <is>
          <t>DRC</t>
        </is>
      </c>
      <c r="C520" t="inlineStr">
        <is>
          <t>DRC05</t>
        </is>
      </c>
      <c r="D520" t="n">
        <v>2</v>
      </c>
      <c r="E520" t="inlineStr">
        <is>
          <t>M&amp;E and Learning</t>
        </is>
      </c>
      <c r="F520">
        <f>SUMIF($A$2:$A$1594,A520,$D$2:$D$1594)</f>
        <v/>
      </c>
    </row>
    <row r="521">
      <c r="A521" t="inlineStr">
        <is>
          <t>Showalter, Caitlin</t>
        </is>
      </c>
      <c r="B521" t="inlineStr">
        <is>
          <t>DRC</t>
        </is>
      </c>
      <c r="C521" t="inlineStr">
        <is>
          <t>DRC06</t>
        </is>
      </c>
      <c r="D521" t="n">
        <v>2</v>
      </c>
      <c r="E521" t="inlineStr">
        <is>
          <t>M&amp;E and Learning</t>
        </is>
      </c>
      <c r="F521">
        <f>SUMIF($A$2:$A$1594,A521,$D$2:$D$1594)</f>
        <v/>
      </c>
    </row>
    <row r="522">
      <c r="A522" t="inlineStr">
        <is>
          <t>Showalter, Caitlin</t>
        </is>
      </c>
      <c r="B522" t="inlineStr">
        <is>
          <t>DRC</t>
        </is>
      </c>
      <c r="C522" t="inlineStr">
        <is>
          <t>DRC07</t>
        </is>
      </c>
      <c r="D522" t="n">
        <v>2</v>
      </c>
      <c r="E522" t="inlineStr">
        <is>
          <t>M&amp;E and Learning</t>
        </is>
      </c>
      <c r="F522">
        <f>SUMIF($A$2:$A$1594,A522,$D$2:$D$1594)</f>
        <v/>
      </c>
    </row>
    <row r="523">
      <c r="A523" t="inlineStr">
        <is>
          <t>Showalter, Caitlin</t>
        </is>
      </c>
      <c r="B523" t="inlineStr">
        <is>
          <t>DRC</t>
        </is>
      </c>
      <c r="C523" t="inlineStr">
        <is>
          <t>DRC08</t>
        </is>
      </c>
      <c r="D523" t="n">
        <v>2</v>
      </c>
      <c r="E523" t="inlineStr">
        <is>
          <t>M&amp;E and Learning</t>
        </is>
      </c>
      <c r="F523">
        <f>SUMIF($A$2:$A$1594,A523,$D$2:$D$1594)</f>
        <v/>
      </c>
    </row>
    <row r="524">
      <c r="A524" t="inlineStr">
        <is>
          <t>Showalter, Caitlin</t>
        </is>
      </c>
      <c r="B524" t="inlineStr">
        <is>
          <t>DRC</t>
        </is>
      </c>
      <c r="C524" t="inlineStr">
        <is>
          <t>DRC09</t>
        </is>
      </c>
      <c r="D524" t="n">
        <v>3</v>
      </c>
      <c r="E524" t="inlineStr">
        <is>
          <t>M&amp;E and Learning</t>
        </is>
      </c>
      <c r="F524">
        <f>SUMIF($A$2:$A$1594,A524,$D$2:$D$1594)</f>
        <v/>
      </c>
    </row>
    <row r="525">
      <c r="A525" t="inlineStr">
        <is>
          <t>Miranda Rondon de Ro, Ing</t>
        </is>
      </c>
      <c r="B525" t="inlineStr">
        <is>
          <t>DRC</t>
        </is>
      </c>
      <c r="C525" t="inlineStr">
        <is>
          <t>DRC01</t>
        </is>
      </c>
      <c r="D525" t="n">
        <v>2</v>
      </c>
      <c r="E525" t="inlineStr">
        <is>
          <t>M&amp;E and Learning</t>
        </is>
      </c>
      <c r="F525">
        <f>SUMIF($A$2:$A$1594,A525,$D$2:$D$1594)</f>
        <v/>
      </c>
    </row>
    <row r="526">
      <c r="A526" t="inlineStr">
        <is>
          <t>Miranda Rondon de Ro, Ing</t>
        </is>
      </c>
      <c r="B526" t="inlineStr">
        <is>
          <t>DRC</t>
        </is>
      </c>
      <c r="C526" t="inlineStr">
        <is>
          <t>DRC03</t>
        </is>
      </c>
      <c r="D526" t="n">
        <v>2</v>
      </c>
      <c r="E526" t="inlineStr">
        <is>
          <t>M&amp;E and Learning</t>
        </is>
      </c>
      <c r="F526">
        <f>SUMIF($A$2:$A$1594,A526,$D$2:$D$1594)</f>
        <v/>
      </c>
    </row>
    <row r="527">
      <c r="A527" t="inlineStr">
        <is>
          <t>Miranda Rondon de Ro, Ing</t>
        </is>
      </c>
      <c r="B527" t="inlineStr">
        <is>
          <t>DRC</t>
        </is>
      </c>
      <c r="C527" t="inlineStr">
        <is>
          <t>DRC04</t>
        </is>
      </c>
      <c r="D527" t="n">
        <v>4</v>
      </c>
      <c r="E527" t="inlineStr">
        <is>
          <t>M&amp;E and Learning</t>
        </is>
      </c>
      <c r="F527">
        <f>SUMIF($A$2:$A$1594,A527,$D$2:$D$1594)</f>
        <v/>
      </c>
    </row>
    <row r="528">
      <c r="A528" t="inlineStr">
        <is>
          <t>Miranda Rondon de Ro, Ing</t>
        </is>
      </c>
      <c r="B528" t="inlineStr">
        <is>
          <t>DRC</t>
        </is>
      </c>
      <c r="C528" t="inlineStr">
        <is>
          <t>DRC05</t>
        </is>
      </c>
      <c r="D528" t="n">
        <v>2</v>
      </c>
      <c r="E528" t="inlineStr">
        <is>
          <t>M&amp;E and Learning</t>
        </is>
      </c>
      <c r="F528">
        <f>SUMIF($A$2:$A$1594,A528,$D$2:$D$1594)</f>
        <v/>
      </c>
    </row>
    <row r="529">
      <c r="A529" t="inlineStr">
        <is>
          <t>Miranda Rondon de Ro, Ing</t>
        </is>
      </c>
      <c r="B529" t="inlineStr">
        <is>
          <t>DRC</t>
        </is>
      </c>
      <c r="C529" t="inlineStr">
        <is>
          <t>DRC06</t>
        </is>
      </c>
      <c r="D529" t="n">
        <v>2</v>
      </c>
      <c r="E529" t="inlineStr">
        <is>
          <t>M&amp;E and Learning</t>
        </is>
      </c>
      <c r="F529">
        <f>SUMIF($A$2:$A$1594,A529,$D$2:$D$1594)</f>
        <v/>
      </c>
    </row>
    <row r="530">
      <c r="A530" t="inlineStr">
        <is>
          <t>Miranda Rondon de Ro, Ing</t>
        </is>
      </c>
      <c r="B530" t="inlineStr">
        <is>
          <t>DRC</t>
        </is>
      </c>
      <c r="C530" t="inlineStr">
        <is>
          <t>DRC07</t>
        </is>
      </c>
      <c r="D530" t="n">
        <v>2</v>
      </c>
      <c r="E530" t="inlineStr">
        <is>
          <t>M&amp;E and Learning</t>
        </is>
      </c>
      <c r="F530">
        <f>SUMIF($A$2:$A$1594,A530,$D$2:$D$1594)</f>
        <v/>
      </c>
    </row>
    <row r="531">
      <c r="A531" t="inlineStr">
        <is>
          <t>Miranda Rondon de Ro, Ing</t>
        </is>
      </c>
      <c r="B531" t="inlineStr">
        <is>
          <t>DRC</t>
        </is>
      </c>
      <c r="C531" t="inlineStr">
        <is>
          <t>DRC08</t>
        </is>
      </c>
      <c r="D531" t="n">
        <v>2</v>
      </c>
      <c r="E531" t="inlineStr">
        <is>
          <t>M&amp;E and Learning</t>
        </is>
      </c>
      <c r="F531">
        <f>SUMIF($A$2:$A$1594,A531,$D$2:$D$1594)</f>
        <v/>
      </c>
    </row>
    <row r="532">
      <c r="A532" t="inlineStr">
        <is>
          <t>Miranda Rondon de Ro, Ing</t>
        </is>
      </c>
      <c r="B532" t="inlineStr">
        <is>
          <t>DRC</t>
        </is>
      </c>
      <c r="C532" t="inlineStr">
        <is>
          <t>DRC09</t>
        </is>
      </c>
      <c r="D532" t="n">
        <v>3</v>
      </c>
      <c r="E532" t="inlineStr">
        <is>
          <t>M&amp;E and Learning</t>
        </is>
      </c>
      <c r="F532">
        <f>SUMIF($A$2:$A$1594,A532,$D$2:$D$1594)</f>
        <v/>
      </c>
    </row>
    <row r="533">
      <c r="A533" t="inlineStr">
        <is>
          <t>Sakaguchi, Kevin</t>
        </is>
      </c>
      <c r="B533" t="inlineStr">
        <is>
          <t>DRC</t>
        </is>
      </c>
      <c r="C533" t="inlineStr">
        <is>
          <t>DRC01</t>
        </is>
      </c>
      <c r="D533" t="n">
        <v>2</v>
      </c>
      <c r="E533" t="inlineStr">
        <is>
          <t>M&amp;E and Learning</t>
        </is>
      </c>
      <c r="F533">
        <f>SUMIF($A$2:$A$1594,A533,$D$2:$D$1594)</f>
        <v/>
      </c>
    </row>
    <row r="534">
      <c r="A534" t="inlineStr">
        <is>
          <t>Sakaguchi, Kevin</t>
        </is>
      </c>
      <c r="B534" t="inlineStr">
        <is>
          <t>DRC</t>
        </is>
      </c>
      <c r="C534" t="inlineStr">
        <is>
          <t>DRC03</t>
        </is>
      </c>
      <c r="D534" t="n">
        <v>2</v>
      </c>
      <c r="E534" t="inlineStr">
        <is>
          <t>M&amp;E and Learning</t>
        </is>
      </c>
      <c r="F534">
        <f>SUMIF($A$2:$A$1594,A534,$D$2:$D$1594)</f>
        <v/>
      </c>
    </row>
    <row r="535">
      <c r="A535" t="inlineStr">
        <is>
          <t>Sakaguchi, Kevin</t>
        </is>
      </c>
      <c r="B535" t="inlineStr">
        <is>
          <t>DRC</t>
        </is>
      </c>
      <c r="C535" t="inlineStr">
        <is>
          <t>DRC04</t>
        </is>
      </c>
      <c r="D535" t="n">
        <v>4</v>
      </c>
      <c r="E535" t="inlineStr">
        <is>
          <t>M&amp;E and Learning</t>
        </is>
      </c>
      <c r="F535">
        <f>SUMIF($A$2:$A$1594,A535,$D$2:$D$1594)</f>
        <v/>
      </c>
    </row>
    <row r="536">
      <c r="A536" t="inlineStr">
        <is>
          <t>Sakaguchi, Kevin</t>
        </is>
      </c>
      <c r="B536" t="inlineStr">
        <is>
          <t>DRC</t>
        </is>
      </c>
      <c r="C536" t="inlineStr">
        <is>
          <t>DRC05</t>
        </is>
      </c>
      <c r="D536" t="n">
        <v>2</v>
      </c>
      <c r="E536" t="inlineStr">
        <is>
          <t>M&amp;E and Learning</t>
        </is>
      </c>
      <c r="F536">
        <f>SUMIF($A$2:$A$1594,A536,$D$2:$D$1594)</f>
        <v/>
      </c>
    </row>
    <row r="537">
      <c r="A537" t="inlineStr">
        <is>
          <t>Sakaguchi, Kevin</t>
        </is>
      </c>
      <c r="B537" t="inlineStr">
        <is>
          <t>DRC</t>
        </is>
      </c>
      <c r="C537" t="inlineStr">
        <is>
          <t>DRC06</t>
        </is>
      </c>
      <c r="D537" t="n">
        <v>2</v>
      </c>
      <c r="E537" t="inlineStr">
        <is>
          <t>M&amp;E and Learning</t>
        </is>
      </c>
      <c r="F537">
        <f>SUMIF($A$2:$A$1594,A537,$D$2:$D$1594)</f>
        <v/>
      </c>
    </row>
    <row r="538">
      <c r="A538" t="inlineStr">
        <is>
          <t>Sakaguchi, Kevin</t>
        </is>
      </c>
      <c r="B538" t="inlineStr">
        <is>
          <t>DRC</t>
        </is>
      </c>
      <c r="C538" t="inlineStr">
        <is>
          <t>DRC07</t>
        </is>
      </c>
      <c r="D538" t="n">
        <v>2</v>
      </c>
      <c r="E538" t="inlineStr">
        <is>
          <t>M&amp;E and Learning</t>
        </is>
      </c>
      <c r="F538">
        <f>SUMIF($A$2:$A$1594,A538,$D$2:$D$1594)</f>
        <v/>
      </c>
    </row>
    <row r="539">
      <c r="A539" t="inlineStr">
        <is>
          <t>Sakaguchi, Kevin</t>
        </is>
      </c>
      <c r="B539" t="inlineStr">
        <is>
          <t>DRC</t>
        </is>
      </c>
      <c r="C539" t="inlineStr">
        <is>
          <t>DRC08</t>
        </is>
      </c>
      <c r="D539" t="n">
        <v>2</v>
      </c>
      <c r="E539" t="inlineStr">
        <is>
          <t>M&amp;E and Learning</t>
        </is>
      </c>
      <c r="F539">
        <f>SUMIF($A$2:$A$1594,A539,$D$2:$D$1594)</f>
        <v/>
      </c>
    </row>
    <row r="540">
      <c r="A540" t="inlineStr">
        <is>
          <t>Sakaguchi, Kevin</t>
        </is>
      </c>
      <c r="B540" t="inlineStr">
        <is>
          <t>DRC</t>
        </is>
      </c>
      <c r="C540" t="inlineStr">
        <is>
          <t>DRC09</t>
        </is>
      </c>
      <c r="D540" t="n">
        <v>3</v>
      </c>
      <c r="E540" t="inlineStr">
        <is>
          <t>M&amp;E and Learning</t>
        </is>
      </c>
      <c r="F540">
        <f>SUMIF($A$2:$A$1594,A540,$D$2:$D$1594)</f>
        <v/>
      </c>
    </row>
    <row r="541">
      <c r="A541" t="inlineStr">
        <is>
          <t>Claussen, Laurence</t>
        </is>
      </c>
      <c r="B541" t="inlineStr">
        <is>
          <t>DRC</t>
        </is>
      </c>
      <c r="C541" t="inlineStr">
        <is>
          <t>DRC01</t>
        </is>
      </c>
      <c r="D541" t="n">
        <v>2</v>
      </c>
      <c r="E541" t="inlineStr">
        <is>
          <t>Comms Manager</t>
        </is>
      </c>
      <c r="F541">
        <f>SUMIF($A$2:$A$1594,A541,$D$2:$D$1594)</f>
        <v/>
      </c>
    </row>
    <row r="542">
      <c r="A542" t="inlineStr">
        <is>
          <t>Claussen, Laurence</t>
        </is>
      </c>
      <c r="B542" t="inlineStr">
        <is>
          <t>DRC</t>
        </is>
      </c>
      <c r="C542" t="inlineStr">
        <is>
          <t>DRC03</t>
        </is>
      </c>
      <c r="D542" t="n">
        <v>2</v>
      </c>
      <c r="E542" t="inlineStr">
        <is>
          <t>Comms Manager</t>
        </is>
      </c>
      <c r="F542">
        <f>SUMIF($A$2:$A$1594,A542,$D$2:$D$1594)</f>
        <v/>
      </c>
    </row>
    <row r="543">
      <c r="A543" t="inlineStr">
        <is>
          <t>Claussen, Laurence</t>
        </is>
      </c>
      <c r="B543" t="inlineStr">
        <is>
          <t>DRC</t>
        </is>
      </c>
      <c r="C543" t="inlineStr">
        <is>
          <t>DRC04</t>
        </is>
      </c>
      <c r="D543" t="n">
        <v>4</v>
      </c>
      <c r="E543" t="inlineStr">
        <is>
          <t>Comms Manager</t>
        </is>
      </c>
      <c r="F543">
        <f>SUMIF($A$2:$A$1594,A543,$D$2:$D$1594)</f>
        <v/>
      </c>
    </row>
    <row r="544">
      <c r="A544" t="inlineStr">
        <is>
          <t>Claussen, Laurence</t>
        </is>
      </c>
      <c r="B544" t="inlineStr">
        <is>
          <t>DRC</t>
        </is>
      </c>
      <c r="C544" t="inlineStr">
        <is>
          <t>DRC05</t>
        </is>
      </c>
      <c r="D544" t="n">
        <v>2</v>
      </c>
      <c r="E544" t="inlineStr">
        <is>
          <t>Comms Manager</t>
        </is>
      </c>
      <c r="F544">
        <f>SUMIF($A$2:$A$1594,A544,$D$2:$D$1594)</f>
        <v/>
      </c>
    </row>
    <row r="545">
      <c r="A545" t="inlineStr">
        <is>
          <t>Claussen, Laurence</t>
        </is>
      </c>
      <c r="B545" t="inlineStr">
        <is>
          <t>DRC</t>
        </is>
      </c>
      <c r="C545" t="inlineStr">
        <is>
          <t>DRC06</t>
        </is>
      </c>
      <c r="D545" t="n">
        <v>2</v>
      </c>
      <c r="E545" t="inlineStr">
        <is>
          <t>Comms Manager</t>
        </is>
      </c>
      <c r="F545">
        <f>SUMIF($A$2:$A$1594,A545,$D$2:$D$1594)</f>
        <v/>
      </c>
    </row>
    <row r="546">
      <c r="A546" t="inlineStr">
        <is>
          <t>Claussen, Laurence</t>
        </is>
      </c>
      <c r="B546" t="inlineStr">
        <is>
          <t>DRC</t>
        </is>
      </c>
      <c r="C546" t="inlineStr">
        <is>
          <t>DRC07</t>
        </is>
      </c>
      <c r="D546" t="n">
        <v>2</v>
      </c>
      <c r="E546" t="inlineStr">
        <is>
          <t>Comms Manager</t>
        </is>
      </c>
      <c r="F546">
        <f>SUMIF($A$2:$A$1594,A546,$D$2:$D$1594)</f>
        <v/>
      </c>
    </row>
    <row r="547">
      <c r="A547" t="inlineStr">
        <is>
          <t>Claussen, Laurence</t>
        </is>
      </c>
      <c r="B547" t="inlineStr">
        <is>
          <t>DRC</t>
        </is>
      </c>
      <c r="C547" t="inlineStr">
        <is>
          <t>DRC08</t>
        </is>
      </c>
      <c r="D547" t="n">
        <v>2</v>
      </c>
      <c r="E547" t="inlineStr">
        <is>
          <t>Comms Manager</t>
        </is>
      </c>
      <c r="F547">
        <f>SUMIF($A$2:$A$1594,A547,$D$2:$D$1594)</f>
        <v/>
      </c>
    </row>
    <row r="548">
      <c r="A548" t="inlineStr">
        <is>
          <t>Claussen, Laurence</t>
        </is>
      </c>
      <c r="B548" t="inlineStr">
        <is>
          <t>DRC</t>
        </is>
      </c>
      <c r="C548" t="inlineStr">
        <is>
          <t>DRC09</t>
        </is>
      </c>
      <c r="D548" t="n">
        <v>3</v>
      </c>
      <c r="E548" t="inlineStr">
        <is>
          <t>Comms Manager</t>
        </is>
      </c>
      <c r="F548">
        <f>SUMIF($A$2:$A$1594,A548,$D$2:$D$1594)</f>
        <v/>
      </c>
    </row>
    <row r="549">
      <c r="A549" t="inlineStr">
        <is>
          <t>Loehr, Caitlin</t>
        </is>
      </c>
      <c r="B549" t="inlineStr">
        <is>
          <t>DRC</t>
        </is>
      </c>
      <c r="C549" t="inlineStr">
        <is>
          <t>DRC01</t>
        </is>
      </c>
      <c r="D549" t="n">
        <v>5</v>
      </c>
      <c r="E549" t="inlineStr">
        <is>
          <t>Senior Tech Advisor - Digital</t>
        </is>
      </c>
      <c r="F549">
        <f>SUMIF($A$2:$A$1594,A549,$D$2:$D$1594)</f>
        <v/>
      </c>
    </row>
    <row r="550">
      <c r="A550" t="inlineStr">
        <is>
          <t>Loehr, Caitlin</t>
        </is>
      </c>
      <c r="B550" t="inlineStr">
        <is>
          <t>DRC</t>
        </is>
      </c>
      <c r="C550" t="inlineStr">
        <is>
          <t>DRC03</t>
        </is>
      </c>
      <c r="D550" t="n">
        <v>5</v>
      </c>
      <c r="E550" t="inlineStr">
        <is>
          <t>Senior Tech Advisor - Digital</t>
        </is>
      </c>
      <c r="F550">
        <f>SUMIF($A$2:$A$1594,A550,$D$2:$D$1594)</f>
        <v/>
      </c>
    </row>
    <row r="551">
      <c r="A551" t="inlineStr">
        <is>
          <t>Loehr, Caitlin</t>
        </is>
      </c>
      <c r="B551" t="inlineStr">
        <is>
          <t>DRC</t>
        </is>
      </c>
      <c r="C551" t="inlineStr">
        <is>
          <t>DRC04</t>
        </is>
      </c>
      <c r="D551" t="n">
        <v>10</v>
      </c>
      <c r="E551" t="inlineStr">
        <is>
          <t>Senior Tech Advisor - Digital</t>
        </is>
      </c>
      <c r="F551">
        <f>SUMIF($A$2:$A$1594,A551,$D$2:$D$1594)</f>
        <v/>
      </c>
    </row>
    <row r="552">
      <c r="A552" t="inlineStr">
        <is>
          <t>Loehr, Caitlin</t>
        </is>
      </c>
      <c r="B552" t="inlineStr">
        <is>
          <t>DRC</t>
        </is>
      </c>
      <c r="C552" t="inlineStr">
        <is>
          <t>DRC05</t>
        </is>
      </c>
      <c r="D552" t="n">
        <v>5</v>
      </c>
      <c r="E552" t="inlineStr">
        <is>
          <t>Senior Tech Advisor - Digital</t>
        </is>
      </c>
      <c r="F552">
        <f>SUMIF($A$2:$A$1594,A552,$D$2:$D$1594)</f>
        <v/>
      </c>
    </row>
    <row r="553">
      <c r="A553" t="inlineStr">
        <is>
          <t>Loehr, Caitlin</t>
        </is>
      </c>
      <c r="B553" t="inlineStr">
        <is>
          <t>DRC</t>
        </is>
      </c>
      <c r="C553" t="inlineStr">
        <is>
          <t>DRC06</t>
        </is>
      </c>
      <c r="D553" t="n">
        <v>5</v>
      </c>
      <c r="E553" t="inlineStr">
        <is>
          <t>Senior Tech Advisor - Digital</t>
        </is>
      </c>
      <c r="F553">
        <f>SUMIF($A$2:$A$1594,A553,$D$2:$D$1594)</f>
        <v/>
      </c>
    </row>
    <row r="554">
      <c r="A554" t="inlineStr">
        <is>
          <t>Loehr, Caitlin</t>
        </is>
      </c>
      <c r="B554" t="inlineStr">
        <is>
          <t>DRC</t>
        </is>
      </c>
      <c r="C554" t="inlineStr">
        <is>
          <t>DRC07</t>
        </is>
      </c>
      <c r="D554" t="n">
        <v>5</v>
      </c>
      <c r="E554" t="inlineStr">
        <is>
          <t>Senior Tech Advisor - Digital</t>
        </is>
      </c>
      <c r="F554">
        <f>SUMIF($A$2:$A$1594,A554,$D$2:$D$1594)</f>
        <v/>
      </c>
    </row>
    <row r="555">
      <c r="A555" t="inlineStr">
        <is>
          <t>Loehr, Caitlin</t>
        </is>
      </c>
      <c r="B555" t="inlineStr">
        <is>
          <t>DRC</t>
        </is>
      </c>
      <c r="C555" t="inlineStr">
        <is>
          <t>DRC08</t>
        </is>
      </c>
      <c r="D555" t="n">
        <v>5</v>
      </c>
      <c r="E555" t="inlineStr">
        <is>
          <t>Senior Tech Advisor - Digital</t>
        </is>
      </c>
      <c r="F555">
        <f>SUMIF($A$2:$A$1594,A555,$D$2:$D$1594)</f>
        <v/>
      </c>
    </row>
    <row r="556">
      <c r="A556" t="inlineStr">
        <is>
          <t>Loehr, Caitlin</t>
        </is>
      </c>
      <c r="B556" t="inlineStr">
        <is>
          <t>DRC</t>
        </is>
      </c>
      <c r="C556" t="inlineStr">
        <is>
          <t>DRC09</t>
        </is>
      </c>
      <c r="D556" t="n">
        <v>5</v>
      </c>
      <c r="E556" t="inlineStr">
        <is>
          <t>Senior Tech Advisor - Digital</t>
        </is>
      </c>
      <c r="F556">
        <f>SUMIF($A$2:$A$1594,A556,$D$2:$D$1594)</f>
        <v/>
      </c>
    </row>
    <row r="557">
      <c r="A557" t="inlineStr">
        <is>
          <t>Mathias, John</t>
        </is>
      </c>
      <c r="B557" t="inlineStr">
        <is>
          <t>DRC</t>
        </is>
      </c>
      <c r="C557" t="inlineStr">
        <is>
          <t>DRC01</t>
        </is>
      </c>
      <c r="D557" t="n">
        <v>2</v>
      </c>
      <c r="E557" t="inlineStr">
        <is>
          <t>Operations Director</t>
        </is>
      </c>
      <c r="F557">
        <f>SUMIF($A$2:$A$1594,A557,$D$2:$D$1594)</f>
        <v/>
      </c>
    </row>
    <row r="558">
      <c r="A558" t="inlineStr">
        <is>
          <t>Mathias, John</t>
        </is>
      </c>
      <c r="B558" t="inlineStr">
        <is>
          <t>DRC</t>
        </is>
      </c>
      <c r="C558" t="inlineStr">
        <is>
          <t>DRC03</t>
        </is>
      </c>
      <c r="D558" t="n">
        <v>2</v>
      </c>
      <c r="E558" t="inlineStr">
        <is>
          <t>Operations Director</t>
        </is>
      </c>
      <c r="F558">
        <f>SUMIF($A$2:$A$1594,A558,$D$2:$D$1594)</f>
        <v/>
      </c>
    </row>
    <row r="559">
      <c r="A559" t="inlineStr">
        <is>
          <t>Mathias, John</t>
        </is>
      </c>
      <c r="B559" t="inlineStr">
        <is>
          <t>DRC</t>
        </is>
      </c>
      <c r="C559" t="inlineStr">
        <is>
          <t>DRC04</t>
        </is>
      </c>
      <c r="D559" t="n">
        <v>4</v>
      </c>
      <c r="E559" t="inlineStr">
        <is>
          <t>Operations Director</t>
        </is>
      </c>
      <c r="F559">
        <f>SUMIF($A$2:$A$1594,A559,$D$2:$D$1594)</f>
        <v/>
      </c>
    </row>
    <row r="560">
      <c r="A560" t="inlineStr">
        <is>
          <t>Mathias, John</t>
        </is>
      </c>
      <c r="B560" t="inlineStr">
        <is>
          <t>DRC</t>
        </is>
      </c>
      <c r="C560" t="inlineStr">
        <is>
          <t>DRC05</t>
        </is>
      </c>
      <c r="D560" t="n">
        <v>2</v>
      </c>
      <c r="E560" t="inlineStr">
        <is>
          <t>Operations Director</t>
        </is>
      </c>
      <c r="F560">
        <f>SUMIF($A$2:$A$1594,A560,$D$2:$D$1594)</f>
        <v/>
      </c>
    </row>
    <row r="561">
      <c r="A561" t="inlineStr">
        <is>
          <t>Mathias, John</t>
        </is>
      </c>
      <c r="B561" t="inlineStr">
        <is>
          <t>DRC</t>
        </is>
      </c>
      <c r="C561" t="inlineStr">
        <is>
          <t>DRC06</t>
        </is>
      </c>
      <c r="D561" t="n">
        <v>2</v>
      </c>
      <c r="E561" t="inlineStr">
        <is>
          <t>Operations Director</t>
        </is>
      </c>
      <c r="F561">
        <f>SUMIF($A$2:$A$1594,A561,$D$2:$D$1594)</f>
        <v/>
      </c>
    </row>
    <row r="562">
      <c r="A562" t="inlineStr">
        <is>
          <t>Mathias, John</t>
        </is>
      </c>
      <c r="B562" t="inlineStr">
        <is>
          <t>DRC</t>
        </is>
      </c>
      <c r="C562" t="inlineStr">
        <is>
          <t>DRC07</t>
        </is>
      </c>
      <c r="D562" t="n">
        <v>2</v>
      </c>
      <c r="E562" t="inlineStr">
        <is>
          <t>Operations Director</t>
        </is>
      </c>
      <c r="F562">
        <f>SUMIF($A$2:$A$1594,A562,$D$2:$D$1594)</f>
        <v/>
      </c>
    </row>
    <row r="563">
      <c r="A563" t="inlineStr">
        <is>
          <t>Mathias, John</t>
        </is>
      </c>
      <c r="B563" t="inlineStr">
        <is>
          <t>DRC</t>
        </is>
      </c>
      <c r="C563" t="inlineStr">
        <is>
          <t>DRC08</t>
        </is>
      </c>
      <c r="D563" t="n">
        <v>2</v>
      </c>
      <c r="E563" t="inlineStr">
        <is>
          <t>Operations Director</t>
        </is>
      </c>
      <c r="F563">
        <f>SUMIF($A$2:$A$1594,A563,$D$2:$D$1594)</f>
        <v/>
      </c>
    </row>
    <row r="564">
      <c r="A564" t="inlineStr">
        <is>
          <t>Mathias, John</t>
        </is>
      </c>
      <c r="B564" t="inlineStr">
        <is>
          <t>DRC</t>
        </is>
      </c>
      <c r="C564" t="inlineStr">
        <is>
          <t>DRC09</t>
        </is>
      </c>
      <c r="D564" t="n">
        <v>3</v>
      </c>
      <c r="E564" t="inlineStr">
        <is>
          <t>Operations Director</t>
        </is>
      </c>
      <c r="F564">
        <f>SUMIF($A$2:$A$1594,A564,$D$2:$D$1594)</f>
        <v/>
      </c>
    </row>
    <row r="565">
      <c r="A565" t="inlineStr">
        <is>
          <t>Misomali, Mark</t>
        </is>
      </c>
      <c r="B565" t="inlineStr">
        <is>
          <t>DRC</t>
        </is>
      </c>
      <c r="C565" t="inlineStr">
        <is>
          <t>DRC01</t>
        </is>
      </c>
      <c r="D565" t="n">
        <v>2</v>
      </c>
      <c r="E565" t="inlineStr">
        <is>
          <t xml:space="preserve">Operations Sr Finance Manager   </t>
        </is>
      </c>
      <c r="F565">
        <f>SUMIF($A$2:$A$1594,A565,$D$2:$D$1594)</f>
        <v/>
      </c>
    </row>
    <row r="566">
      <c r="A566" t="inlineStr">
        <is>
          <t>Misomali, Mark</t>
        </is>
      </c>
      <c r="B566" t="inlineStr">
        <is>
          <t>DRC</t>
        </is>
      </c>
      <c r="C566" t="inlineStr">
        <is>
          <t>DRC03</t>
        </is>
      </c>
      <c r="D566" t="n">
        <v>2</v>
      </c>
      <c r="E566" t="inlineStr">
        <is>
          <t xml:space="preserve">Operations Sr Finance Manager   </t>
        </is>
      </c>
      <c r="F566">
        <f>SUMIF($A$2:$A$1594,A566,$D$2:$D$1594)</f>
        <v/>
      </c>
    </row>
    <row r="567">
      <c r="A567" t="inlineStr">
        <is>
          <t>Misomali, Mark</t>
        </is>
      </c>
      <c r="B567" t="inlineStr">
        <is>
          <t>DRC</t>
        </is>
      </c>
      <c r="C567" t="inlineStr">
        <is>
          <t>DRC04</t>
        </is>
      </c>
      <c r="D567" t="n">
        <v>4</v>
      </c>
      <c r="E567" t="inlineStr">
        <is>
          <t xml:space="preserve">Operations Sr Finance Manager   </t>
        </is>
      </c>
      <c r="F567">
        <f>SUMIF($A$2:$A$1594,A567,$D$2:$D$1594)</f>
        <v/>
      </c>
    </row>
    <row r="568">
      <c r="A568" t="inlineStr">
        <is>
          <t>Misomali, Mark</t>
        </is>
      </c>
      <c r="B568" t="inlineStr">
        <is>
          <t>DRC</t>
        </is>
      </c>
      <c r="C568" t="inlineStr">
        <is>
          <t>DRC05</t>
        </is>
      </c>
      <c r="D568" t="n">
        <v>2</v>
      </c>
      <c r="E568" t="inlineStr">
        <is>
          <t xml:space="preserve">Operations Sr Finance Manager   </t>
        </is>
      </c>
      <c r="F568">
        <f>SUMIF($A$2:$A$1594,A568,$D$2:$D$1594)</f>
        <v/>
      </c>
    </row>
    <row r="569">
      <c r="A569" t="inlineStr">
        <is>
          <t>Misomali, Mark</t>
        </is>
      </c>
      <c r="B569" t="inlineStr">
        <is>
          <t>DRC</t>
        </is>
      </c>
      <c r="C569" t="inlineStr">
        <is>
          <t>DRC06</t>
        </is>
      </c>
      <c r="D569" t="n">
        <v>2</v>
      </c>
      <c r="E569" t="inlineStr">
        <is>
          <t xml:space="preserve">Operations Sr Finance Manager   </t>
        </is>
      </c>
      <c r="F569">
        <f>SUMIF($A$2:$A$1594,A569,$D$2:$D$1594)</f>
        <v/>
      </c>
    </row>
    <row r="570">
      <c r="A570" t="inlineStr">
        <is>
          <t>Misomali, Mark</t>
        </is>
      </c>
      <c r="B570" t="inlineStr">
        <is>
          <t>DRC</t>
        </is>
      </c>
      <c r="C570" t="inlineStr">
        <is>
          <t>DRC07</t>
        </is>
      </c>
      <c r="D570" t="n">
        <v>2</v>
      </c>
      <c r="E570" t="inlineStr">
        <is>
          <t xml:space="preserve">Operations Sr Finance Manager   </t>
        </is>
      </c>
      <c r="F570">
        <f>SUMIF($A$2:$A$1594,A570,$D$2:$D$1594)</f>
        <v/>
      </c>
    </row>
    <row r="571">
      <c r="A571" t="inlineStr">
        <is>
          <t>Misomali, Mark</t>
        </is>
      </c>
      <c r="B571" t="inlineStr">
        <is>
          <t>DRC</t>
        </is>
      </c>
      <c r="C571" t="inlineStr">
        <is>
          <t>DRC08</t>
        </is>
      </c>
      <c r="D571" t="n">
        <v>2</v>
      </c>
      <c r="E571" t="inlineStr">
        <is>
          <t xml:space="preserve">Operations Sr Finance Manager   </t>
        </is>
      </c>
      <c r="F571">
        <f>SUMIF($A$2:$A$1594,A571,$D$2:$D$1594)</f>
        <v/>
      </c>
    </row>
    <row r="572">
      <c r="A572" t="inlineStr">
        <is>
          <t>Misomali, Mark</t>
        </is>
      </c>
      <c r="B572" t="inlineStr">
        <is>
          <t>DRC</t>
        </is>
      </c>
      <c r="C572" t="inlineStr">
        <is>
          <t>DRC09</t>
        </is>
      </c>
      <c r="D572" t="n">
        <v>3</v>
      </c>
      <c r="E572" t="inlineStr">
        <is>
          <t xml:space="preserve">Operations Sr Finance Manager   </t>
        </is>
      </c>
      <c r="F572">
        <f>SUMIF($A$2:$A$1594,A572,$D$2:$D$1594)</f>
        <v/>
      </c>
    </row>
    <row r="573">
      <c r="A573" t="inlineStr">
        <is>
          <t>Noorzai, Mahmood</t>
        </is>
      </c>
      <c r="B573" t="inlineStr">
        <is>
          <t>DRC</t>
        </is>
      </c>
      <c r="C573" t="inlineStr">
        <is>
          <t>DRC01</t>
        </is>
      </c>
      <c r="D573" t="n">
        <v>2</v>
      </c>
      <c r="E573" t="inlineStr">
        <is>
          <t>Operations Finance Associate</t>
        </is>
      </c>
      <c r="F573">
        <f>SUMIF($A$2:$A$1594,A573,$D$2:$D$1594)</f>
        <v/>
      </c>
    </row>
    <row r="574">
      <c r="A574" t="inlineStr">
        <is>
          <t>Noorzai, Mahmood</t>
        </is>
      </c>
      <c r="B574" t="inlineStr">
        <is>
          <t>DRC</t>
        </is>
      </c>
      <c r="C574" t="inlineStr">
        <is>
          <t>DRC03</t>
        </is>
      </c>
      <c r="D574" t="n">
        <v>2</v>
      </c>
      <c r="E574" t="inlineStr">
        <is>
          <t>Operations Finance Associate</t>
        </is>
      </c>
      <c r="F574">
        <f>SUMIF($A$2:$A$1594,A574,$D$2:$D$1594)</f>
        <v/>
      </c>
    </row>
    <row r="575">
      <c r="A575" t="inlineStr">
        <is>
          <t>Noorzai, Mahmood</t>
        </is>
      </c>
      <c r="B575" t="inlineStr">
        <is>
          <t>DRC</t>
        </is>
      </c>
      <c r="C575" t="inlineStr">
        <is>
          <t>DRC04</t>
        </is>
      </c>
      <c r="D575" t="n">
        <v>4</v>
      </c>
      <c r="E575" t="inlineStr">
        <is>
          <t>Operations Finance Associate</t>
        </is>
      </c>
      <c r="F575">
        <f>SUMIF($A$2:$A$1594,A575,$D$2:$D$1594)</f>
        <v/>
      </c>
    </row>
    <row r="576">
      <c r="A576" t="inlineStr">
        <is>
          <t>Noorzai, Mahmood</t>
        </is>
      </c>
      <c r="B576" t="inlineStr">
        <is>
          <t>DRC</t>
        </is>
      </c>
      <c r="C576" t="inlineStr">
        <is>
          <t>DRC05</t>
        </is>
      </c>
      <c r="D576" t="n">
        <v>2</v>
      </c>
      <c r="E576" t="inlineStr">
        <is>
          <t>Operations Finance Associate</t>
        </is>
      </c>
      <c r="F576">
        <f>SUMIF($A$2:$A$1594,A576,$D$2:$D$1594)</f>
        <v/>
      </c>
    </row>
    <row r="577">
      <c r="A577" t="inlineStr">
        <is>
          <t>Noorzai, Mahmood</t>
        </is>
      </c>
      <c r="B577" t="inlineStr">
        <is>
          <t>DRC</t>
        </is>
      </c>
      <c r="C577" t="inlineStr">
        <is>
          <t>DRC06</t>
        </is>
      </c>
      <c r="D577" t="n">
        <v>2</v>
      </c>
      <c r="E577" t="inlineStr">
        <is>
          <t>Operations Finance Associate</t>
        </is>
      </c>
      <c r="F577">
        <f>SUMIF($A$2:$A$1594,A577,$D$2:$D$1594)</f>
        <v/>
      </c>
    </row>
    <row r="578">
      <c r="A578" t="inlineStr">
        <is>
          <t>Noorzai, Mahmood</t>
        </is>
      </c>
      <c r="B578" t="inlineStr">
        <is>
          <t>DRC</t>
        </is>
      </c>
      <c r="C578" t="inlineStr">
        <is>
          <t>DRC07</t>
        </is>
      </c>
      <c r="D578" t="n">
        <v>2</v>
      </c>
      <c r="E578" t="inlineStr">
        <is>
          <t>Operations Finance Associate</t>
        </is>
      </c>
      <c r="F578">
        <f>SUMIF($A$2:$A$1594,A578,$D$2:$D$1594)</f>
        <v/>
      </c>
    </row>
    <row r="579">
      <c r="A579" t="inlineStr">
        <is>
          <t>Noorzai, Mahmood</t>
        </is>
      </c>
      <c r="B579" t="inlineStr">
        <is>
          <t>DRC</t>
        </is>
      </c>
      <c r="C579" t="inlineStr">
        <is>
          <t>DRC08</t>
        </is>
      </c>
      <c r="D579" t="n">
        <v>2</v>
      </c>
      <c r="E579" t="inlineStr">
        <is>
          <t>Operations Finance Associate</t>
        </is>
      </c>
      <c r="F579">
        <f>SUMIF($A$2:$A$1594,A579,$D$2:$D$1594)</f>
        <v/>
      </c>
    </row>
    <row r="580">
      <c r="A580" t="inlineStr">
        <is>
          <t>Noorzai, Mahmood</t>
        </is>
      </c>
      <c r="B580" t="inlineStr">
        <is>
          <t>DRC</t>
        </is>
      </c>
      <c r="C580" t="inlineStr">
        <is>
          <t>DRC09</t>
        </is>
      </c>
      <c r="D580" t="n">
        <v>3</v>
      </c>
      <c r="E580" t="inlineStr">
        <is>
          <t>Operations Finance Associate</t>
        </is>
      </c>
      <c r="F580">
        <f>SUMIF($A$2:$A$1594,A580,$D$2:$D$1594)</f>
        <v/>
      </c>
    </row>
    <row r="581">
      <c r="A581" t="inlineStr">
        <is>
          <t>Cisse, Carol</t>
        </is>
      </c>
      <c r="B581" t="inlineStr">
        <is>
          <t>DRC</t>
        </is>
      </c>
      <c r="C581" t="inlineStr">
        <is>
          <t>DRC01</t>
        </is>
      </c>
      <c r="D581" t="n">
        <v>20</v>
      </c>
      <c r="E581" t="inlineStr">
        <is>
          <t>Operations Senior Manager Pool-17</t>
        </is>
      </c>
      <c r="F581">
        <f>SUMIF($A$2:$A$1594,A581,$D$2:$D$1594)</f>
        <v/>
      </c>
    </row>
    <row r="582">
      <c r="A582" t="inlineStr">
        <is>
          <t>Cisse, Carol</t>
        </is>
      </c>
      <c r="B582" t="inlineStr">
        <is>
          <t>DRC</t>
        </is>
      </c>
      <c r="C582" t="inlineStr">
        <is>
          <t>DRC03</t>
        </is>
      </c>
      <c r="D582" t="n">
        <v>20</v>
      </c>
      <c r="E582" t="inlineStr">
        <is>
          <t>Operations Senior Manager Pool-17</t>
        </is>
      </c>
      <c r="F582">
        <f>SUMIF($A$2:$A$1594,A582,$D$2:$D$1594)</f>
        <v/>
      </c>
    </row>
    <row r="583">
      <c r="A583" t="inlineStr">
        <is>
          <t>Cisse, Carol</t>
        </is>
      </c>
      <c r="B583" t="inlineStr">
        <is>
          <t>DRC</t>
        </is>
      </c>
      <c r="C583" t="inlineStr">
        <is>
          <t>DRC04</t>
        </is>
      </c>
      <c r="D583" t="n">
        <v>40</v>
      </c>
      <c r="E583" t="inlineStr">
        <is>
          <t>Operations Senior Manager Pool-17</t>
        </is>
      </c>
      <c r="F583">
        <f>SUMIF($A$2:$A$1594,A583,$D$2:$D$1594)</f>
        <v/>
      </c>
    </row>
    <row r="584">
      <c r="A584" t="inlineStr">
        <is>
          <t>Cisse, Carol</t>
        </is>
      </c>
      <c r="B584" t="inlineStr">
        <is>
          <t>DRC</t>
        </is>
      </c>
      <c r="C584" t="inlineStr">
        <is>
          <t>DRC05</t>
        </is>
      </c>
      <c r="D584" t="n">
        <v>20</v>
      </c>
      <c r="E584" t="inlineStr">
        <is>
          <t>Operations Senior Manager Pool-17</t>
        </is>
      </c>
      <c r="F584">
        <f>SUMIF($A$2:$A$1594,A584,$D$2:$D$1594)</f>
        <v/>
      </c>
    </row>
    <row r="585">
      <c r="A585" t="inlineStr">
        <is>
          <t>Cisse, Carol</t>
        </is>
      </c>
      <c r="B585" t="inlineStr">
        <is>
          <t>DRC</t>
        </is>
      </c>
      <c r="C585" t="inlineStr">
        <is>
          <t>DRC06</t>
        </is>
      </c>
      <c r="D585" t="n">
        <v>20</v>
      </c>
      <c r="E585" t="inlineStr">
        <is>
          <t>Operations Senior Manager Pool-17</t>
        </is>
      </c>
      <c r="F585">
        <f>SUMIF($A$2:$A$1594,A585,$D$2:$D$1594)</f>
        <v/>
      </c>
    </row>
    <row r="586">
      <c r="A586" t="inlineStr">
        <is>
          <t>Cisse, Carol</t>
        </is>
      </c>
      <c r="B586" t="inlineStr">
        <is>
          <t>DRC</t>
        </is>
      </c>
      <c r="C586" t="inlineStr">
        <is>
          <t>DRC07</t>
        </is>
      </c>
      <c r="D586" t="n">
        <v>20</v>
      </c>
      <c r="E586" t="inlineStr">
        <is>
          <t>Operations Senior Manager Pool-17</t>
        </is>
      </c>
      <c r="F586">
        <f>SUMIF($A$2:$A$1594,A586,$D$2:$D$1594)</f>
        <v/>
      </c>
    </row>
    <row r="587">
      <c r="A587" t="inlineStr">
        <is>
          <t>Cisse, Carol</t>
        </is>
      </c>
      <c r="B587" t="inlineStr">
        <is>
          <t>DRC</t>
        </is>
      </c>
      <c r="C587" t="inlineStr">
        <is>
          <t>DRC08</t>
        </is>
      </c>
      <c r="D587" t="n">
        <v>20</v>
      </c>
      <c r="E587" t="inlineStr">
        <is>
          <t>Operations Senior Manager Pool-17</t>
        </is>
      </c>
      <c r="F587">
        <f>SUMIF($A$2:$A$1594,A587,$D$2:$D$1594)</f>
        <v/>
      </c>
    </row>
    <row r="588">
      <c r="A588" t="inlineStr">
        <is>
          <t>Cisse, Carol</t>
        </is>
      </c>
      <c r="B588" t="inlineStr">
        <is>
          <t>DRC</t>
        </is>
      </c>
      <c r="C588" t="inlineStr">
        <is>
          <t>DRC09</t>
        </is>
      </c>
      <c r="D588" t="n">
        <v>20</v>
      </c>
      <c r="E588" t="inlineStr">
        <is>
          <t>Operations Senior Manager Pool-17</t>
        </is>
      </c>
      <c r="F588">
        <f>SUMIF($A$2:$A$1594,A588,$D$2:$D$1594)</f>
        <v/>
      </c>
    </row>
    <row r="589">
      <c r="A589" t="inlineStr">
        <is>
          <t>Mawandia, Shreshth</t>
        </is>
      </c>
      <c r="B589" t="inlineStr">
        <is>
          <t>El Salvador</t>
        </is>
      </c>
      <c r="C589" t="inlineStr">
        <is>
          <t>ELS01</t>
        </is>
      </c>
      <c r="D589" t="n">
        <v>1</v>
      </c>
      <c r="E589" t="inlineStr">
        <is>
          <t>KP - Project Director</t>
        </is>
      </c>
      <c r="F589">
        <f>SUMIF($A$2:$A$1594,A589,$D$2:$D$1594)</f>
        <v/>
      </c>
    </row>
    <row r="590">
      <c r="A590" t="inlineStr">
        <is>
          <t>Mawandia, Shreshth</t>
        </is>
      </c>
      <c r="B590" t="inlineStr">
        <is>
          <t>El Salvador</t>
        </is>
      </c>
      <c r="C590" t="inlineStr">
        <is>
          <t>ELS02</t>
        </is>
      </c>
      <c r="D590" t="n">
        <v>1</v>
      </c>
      <c r="E590" t="inlineStr">
        <is>
          <t>KP - Project Director</t>
        </is>
      </c>
      <c r="F590">
        <f>SUMIF($A$2:$A$1594,A590,$D$2:$D$1594)</f>
        <v/>
      </c>
    </row>
    <row r="591">
      <c r="A591" t="inlineStr">
        <is>
          <t>Mawandia, Shreshth</t>
        </is>
      </c>
      <c r="B591" t="inlineStr">
        <is>
          <t>El Salvador</t>
        </is>
      </c>
      <c r="C591" t="inlineStr">
        <is>
          <t>ELS03</t>
        </is>
      </c>
      <c r="D591" t="n">
        <v>1</v>
      </c>
      <c r="E591" t="inlineStr">
        <is>
          <t>KP - Project Director</t>
        </is>
      </c>
      <c r="F591">
        <f>SUMIF($A$2:$A$1594,A591,$D$2:$D$1594)</f>
        <v/>
      </c>
    </row>
    <row r="592">
      <c r="A592" t="inlineStr">
        <is>
          <t>Mawandia, Shreshth</t>
        </is>
      </c>
      <c r="B592" t="inlineStr">
        <is>
          <t>El Salvador</t>
        </is>
      </c>
      <c r="C592" t="inlineStr">
        <is>
          <t>ELS04</t>
        </is>
      </c>
      <c r="D592" t="n">
        <v>1</v>
      </c>
      <c r="E592" t="inlineStr">
        <is>
          <t>KP - Project Director</t>
        </is>
      </c>
      <c r="F592">
        <f>SUMIF($A$2:$A$1594,A592,$D$2:$D$1594)</f>
        <v/>
      </c>
    </row>
    <row r="593">
      <c r="A593" t="inlineStr">
        <is>
          <t>Mawandia, Shreshth</t>
        </is>
      </c>
      <c r="B593" t="inlineStr">
        <is>
          <t>El Salvador</t>
        </is>
      </c>
      <c r="C593" t="inlineStr">
        <is>
          <t>ELS05</t>
        </is>
      </c>
      <c r="D593" t="n">
        <v>1</v>
      </c>
      <c r="E593" t="inlineStr">
        <is>
          <t>KP - Project Director</t>
        </is>
      </c>
      <c r="F593">
        <f>SUMIF($A$2:$A$1594,A593,$D$2:$D$1594)</f>
        <v/>
      </c>
    </row>
    <row r="594">
      <c r="A594" t="inlineStr">
        <is>
          <t>Nigussie, Netsanet</t>
        </is>
      </c>
      <c r="B594" t="inlineStr">
        <is>
          <t>El Salvador</t>
        </is>
      </c>
      <c r="C594" t="inlineStr">
        <is>
          <t>ELS01</t>
        </is>
      </c>
      <c r="D594" t="n">
        <v>1</v>
      </c>
      <c r="E594" t="inlineStr">
        <is>
          <t>KP - Technical Director</t>
        </is>
      </c>
      <c r="F594">
        <f>SUMIF($A$2:$A$1594,A594,$D$2:$D$1594)</f>
        <v/>
      </c>
    </row>
    <row r="595">
      <c r="A595" t="inlineStr">
        <is>
          <t>Nigussie, Netsanet</t>
        </is>
      </c>
      <c r="B595" t="inlineStr">
        <is>
          <t>El Salvador</t>
        </is>
      </c>
      <c r="C595" t="inlineStr">
        <is>
          <t>ELS02</t>
        </is>
      </c>
      <c r="D595" t="n">
        <v>1</v>
      </c>
      <c r="E595" t="inlineStr">
        <is>
          <t>KP - Technical Director</t>
        </is>
      </c>
      <c r="F595">
        <f>SUMIF($A$2:$A$1594,A595,$D$2:$D$1594)</f>
        <v/>
      </c>
    </row>
    <row r="596">
      <c r="A596" t="inlineStr">
        <is>
          <t>Nigussie, Netsanet</t>
        </is>
      </c>
      <c r="B596" t="inlineStr">
        <is>
          <t>El Salvador</t>
        </is>
      </c>
      <c r="C596" t="inlineStr">
        <is>
          <t>ELS03</t>
        </is>
      </c>
      <c r="D596" t="n">
        <v>1</v>
      </c>
      <c r="E596" t="inlineStr">
        <is>
          <t>KP - Technical Director</t>
        </is>
      </c>
      <c r="F596">
        <f>SUMIF($A$2:$A$1594,A596,$D$2:$D$1594)</f>
        <v/>
      </c>
    </row>
    <row r="597">
      <c r="A597" t="inlineStr">
        <is>
          <t>Nigussie, Netsanet</t>
        </is>
      </c>
      <c r="B597" t="inlineStr">
        <is>
          <t>El Salvador</t>
        </is>
      </c>
      <c r="C597" t="inlineStr">
        <is>
          <t>ELS04</t>
        </is>
      </c>
      <c r="D597" t="n">
        <v>1</v>
      </c>
      <c r="E597" t="inlineStr">
        <is>
          <t>KP - Technical Director</t>
        </is>
      </c>
      <c r="F597">
        <f>SUMIF($A$2:$A$1594,A597,$D$2:$D$1594)</f>
        <v/>
      </c>
    </row>
    <row r="598">
      <c r="A598" t="inlineStr">
        <is>
          <t>Nigussie, Netsanet</t>
        </is>
      </c>
      <c r="B598" t="inlineStr">
        <is>
          <t>El Salvador</t>
        </is>
      </c>
      <c r="C598" t="inlineStr">
        <is>
          <t>ELS05</t>
        </is>
      </c>
      <c r="D598" t="n">
        <v>1</v>
      </c>
      <c r="E598" t="inlineStr">
        <is>
          <t>KP - Technical Director</t>
        </is>
      </c>
      <c r="F598">
        <f>SUMIF($A$2:$A$1594,A598,$D$2:$D$1594)</f>
        <v/>
      </c>
    </row>
    <row r="599">
      <c r="A599" t="inlineStr">
        <is>
          <t>Mensah, Margaret</t>
        </is>
      </c>
      <c r="B599" t="inlineStr">
        <is>
          <t>El Salvador</t>
        </is>
      </c>
      <c r="C599" t="inlineStr">
        <is>
          <t>ELS01</t>
        </is>
      </c>
      <c r="D599" t="n">
        <v>1</v>
      </c>
      <c r="E599" t="inlineStr">
        <is>
          <t>KP - Finance Director</t>
        </is>
      </c>
      <c r="F599">
        <f>SUMIF($A$2:$A$1594,A599,$D$2:$D$1594)</f>
        <v/>
      </c>
    </row>
    <row r="600">
      <c r="A600" t="inlineStr">
        <is>
          <t>Mensah, Margaret</t>
        </is>
      </c>
      <c r="B600" t="inlineStr">
        <is>
          <t>El Salvador</t>
        </is>
      </c>
      <c r="C600" t="inlineStr">
        <is>
          <t>ELS02</t>
        </is>
      </c>
      <c r="D600" t="n">
        <v>1</v>
      </c>
      <c r="E600" t="inlineStr">
        <is>
          <t>KP - Finance Director</t>
        </is>
      </c>
      <c r="F600">
        <f>SUMIF($A$2:$A$1594,A600,$D$2:$D$1594)</f>
        <v/>
      </c>
    </row>
    <row r="601">
      <c r="A601" t="inlineStr">
        <is>
          <t>Mensah, Margaret</t>
        </is>
      </c>
      <c r="B601" t="inlineStr">
        <is>
          <t>El Salvador</t>
        </is>
      </c>
      <c r="C601" t="inlineStr">
        <is>
          <t>ELS03</t>
        </is>
      </c>
      <c r="D601" t="n">
        <v>1</v>
      </c>
      <c r="E601" t="inlineStr">
        <is>
          <t>KP - Finance Director</t>
        </is>
      </c>
      <c r="F601">
        <f>SUMIF($A$2:$A$1594,A601,$D$2:$D$1594)</f>
        <v/>
      </c>
    </row>
    <row r="602">
      <c r="A602" t="inlineStr">
        <is>
          <t>Mensah, Margaret</t>
        </is>
      </c>
      <c r="B602" t="inlineStr">
        <is>
          <t>El Salvador</t>
        </is>
      </c>
      <c r="C602" t="inlineStr">
        <is>
          <t>ELS04</t>
        </is>
      </c>
      <c r="D602" t="n">
        <v>1</v>
      </c>
      <c r="E602" t="inlineStr">
        <is>
          <t>KP - Finance Director</t>
        </is>
      </c>
      <c r="F602">
        <f>SUMIF($A$2:$A$1594,A602,$D$2:$D$1594)</f>
        <v/>
      </c>
    </row>
    <row r="603">
      <c r="A603" t="inlineStr">
        <is>
          <t>Mensah, Margaret</t>
        </is>
      </c>
      <c r="B603" t="inlineStr">
        <is>
          <t>El Salvador</t>
        </is>
      </c>
      <c r="C603" t="inlineStr">
        <is>
          <t>ELS05</t>
        </is>
      </c>
      <c r="D603" t="n">
        <v>1</v>
      </c>
      <c r="E603" t="inlineStr">
        <is>
          <t>KP - Finance Director</t>
        </is>
      </c>
      <c r="F603">
        <f>SUMIF($A$2:$A$1594,A603,$D$2:$D$1594)</f>
        <v/>
      </c>
    </row>
    <row r="604">
      <c r="A604" t="inlineStr">
        <is>
          <t>Friedman, Jonathan</t>
        </is>
      </c>
      <c r="B604" t="inlineStr">
        <is>
          <t>El Salvador</t>
        </is>
      </c>
      <c r="C604" t="inlineStr">
        <is>
          <t>ELS01</t>
        </is>
      </c>
      <c r="D604" t="n">
        <v>1</v>
      </c>
      <c r="E604" t="inlineStr">
        <is>
          <t>AI/ML Lead</t>
        </is>
      </c>
      <c r="F604">
        <f>SUMIF($A$2:$A$1594,A604,$D$2:$D$1594)</f>
        <v/>
      </c>
    </row>
    <row r="605">
      <c r="A605" t="inlineStr">
        <is>
          <t>Friedman, Jonathan</t>
        </is>
      </c>
      <c r="B605" t="inlineStr">
        <is>
          <t>El Salvador</t>
        </is>
      </c>
      <c r="C605" t="inlineStr">
        <is>
          <t>ELS02</t>
        </is>
      </c>
      <c r="D605" t="n">
        <v>1</v>
      </c>
      <c r="E605" t="inlineStr">
        <is>
          <t>AI/ML Lead</t>
        </is>
      </c>
      <c r="F605">
        <f>SUMIF($A$2:$A$1594,A605,$D$2:$D$1594)</f>
        <v/>
      </c>
    </row>
    <row r="606">
      <c r="A606" t="inlineStr">
        <is>
          <t>Friedman, Jonathan</t>
        </is>
      </c>
      <c r="B606" t="inlineStr">
        <is>
          <t>El Salvador</t>
        </is>
      </c>
      <c r="C606" t="inlineStr">
        <is>
          <t>ELS03</t>
        </is>
      </c>
      <c r="D606" t="n">
        <v>1</v>
      </c>
      <c r="E606" t="inlineStr">
        <is>
          <t>AI/ML Lead</t>
        </is>
      </c>
      <c r="F606">
        <f>SUMIF($A$2:$A$1594,A606,$D$2:$D$1594)</f>
        <v/>
      </c>
    </row>
    <row r="607">
      <c r="A607" t="inlineStr">
        <is>
          <t>Friedman, Jonathan</t>
        </is>
      </c>
      <c r="B607" t="inlineStr">
        <is>
          <t>El Salvador</t>
        </is>
      </c>
      <c r="C607" t="inlineStr">
        <is>
          <t>ELS04</t>
        </is>
      </c>
      <c r="D607" t="n">
        <v>1</v>
      </c>
      <c r="E607" t="inlineStr">
        <is>
          <t>AI/ML Lead</t>
        </is>
      </c>
      <c r="F607">
        <f>SUMIF($A$2:$A$1594,A607,$D$2:$D$1594)</f>
        <v/>
      </c>
    </row>
    <row r="608">
      <c r="A608" t="inlineStr">
        <is>
          <t>Friedman, Jonathan</t>
        </is>
      </c>
      <c r="B608" t="inlineStr">
        <is>
          <t>El Salvador</t>
        </is>
      </c>
      <c r="C608" t="inlineStr">
        <is>
          <t>ELS05</t>
        </is>
      </c>
      <c r="D608" t="n">
        <v>1</v>
      </c>
      <c r="E608" t="inlineStr">
        <is>
          <t>AI/ML Lead</t>
        </is>
      </c>
      <c r="F608">
        <f>SUMIF($A$2:$A$1594,A608,$D$2:$D$1594)</f>
        <v/>
      </c>
    </row>
    <row r="609">
      <c r="A609" t="inlineStr">
        <is>
          <t>Mavyuva, Boniface</t>
        </is>
      </c>
      <c r="B609" t="inlineStr">
        <is>
          <t>El Salvador</t>
        </is>
      </c>
      <c r="C609" t="inlineStr">
        <is>
          <t>ELS01</t>
        </is>
      </c>
      <c r="D609" t="n">
        <v>0.5</v>
      </c>
      <c r="E609" t="inlineStr">
        <is>
          <t>Dig Infrastructure Lead</t>
        </is>
      </c>
      <c r="F609">
        <f>SUMIF($A$2:$A$1594,A609,$D$2:$D$1594)</f>
        <v/>
      </c>
    </row>
    <row r="610">
      <c r="A610" t="inlineStr">
        <is>
          <t>Mavyuva, Boniface</t>
        </is>
      </c>
      <c r="B610" t="inlineStr">
        <is>
          <t>El Salvador</t>
        </is>
      </c>
      <c r="C610" t="inlineStr">
        <is>
          <t>ELS02</t>
        </is>
      </c>
      <c r="D610" t="n">
        <v>0.5</v>
      </c>
      <c r="E610" t="inlineStr">
        <is>
          <t>Dig Infrastructure Lead</t>
        </is>
      </c>
      <c r="F610">
        <f>SUMIF($A$2:$A$1594,A610,$D$2:$D$1594)</f>
        <v/>
      </c>
    </row>
    <row r="611">
      <c r="A611" t="inlineStr">
        <is>
          <t>Mavyuva, Boniface</t>
        </is>
      </c>
      <c r="B611" t="inlineStr">
        <is>
          <t>El Salvador</t>
        </is>
      </c>
      <c r="C611" t="inlineStr">
        <is>
          <t>ELS03</t>
        </is>
      </c>
      <c r="D611" t="n">
        <v>0.5</v>
      </c>
      <c r="E611" t="inlineStr">
        <is>
          <t>Dig Infrastructure Lead</t>
        </is>
      </c>
      <c r="F611">
        <f>SUMIF($A$2:$A$1594,A611,$D$2:$D$1594)</f>
        <v/>
      </c>
    </row>
    <row r="612">
      <c r="A612" t="inlineStr">
        <is>
          <t>Mavyuva, Boniface</t>
        </is>
      </c>
      <c r="B612" t="inlineStr">
        <is>
          <t>El Salvador</t>
        </is>
      </c>
      <c r="C612" t="inlineStr">
        <is>
          <t>ELS04</t>
        </is>
      </c>
      <c r="D612" t="n">
        <v>0.5</v>
      </c>
      <c r="E612" t="inlineStr">
        <is>
          <t>Dig Infrastructure Lead</t>
        </is>
      </c>
      <c r="F612">
        <f>SUMIF($A$2:$A$1594,A612,$D$2:$D$1594)</f>
        <v/>
      </c>
    </row>
    <row r="613">
      <c r="A613" t="inlineStr">
        <is>
          <t>Vargas Monzon, Julio</t>
        </is>
      </c>
      <c r="B613" t="inlineStr">
        <is>
          <t>El Salvador</t>
        </is>
      </c>
      <c r="C613" t="inlineStr">
        <is>
          <t>ELS01</t>
        </is>
      </c>
      <c r="D613" t="n">
        <v>2</v>
      </c>
      <c r="E613" t="inlineStr">
        <is>
          <t>Infosec Co-Lead</t>
        </is>
      </c>
      <c r="F613">
        <f>SUMIF($A$2:$A$1594,A613,$D$2:$D$1594)</f>
        <v/>
      </c>
    </row>
    <row r="614">
      <c r="A614" t="inlineStr">
        <is>
          <t>Vargas Monzon, Julio</t>
        </is>
      </c>
      <c r="B614" t="inlineStr">
        <is>
          <t>El Salvador</t>
        </is>
      </c>
      <c r="C614" t="inlineStr">
        <is>
          <t>ELS02</t>
        </is>
      </c>
      <c r="D614" t="n">
        <v>2</v>
      </c>
      <c r="E614" t="inlineStr">
        <is>
          <t>Infosec Co-Lead</t>
        </is>
      </c>
      <c r="F614">
        <f>SUMIF($A$2:$A$1594,A614,$D$2:$D$1594)</f>
        <v/>
      </c>
    </row>
    <row r="615">
      <c r="A615" t="inlineStr">
        <is>
          <t>Vargas Monzon, Julio</t>
        </is>
      </c>
      <c r="B615" t="inlineStr">
        <is>
          <t>El Salvador</t>
        </is>
      </c>
      <c r="C615" t="inlineStr">
        <is>
          <t>ELS03</t>
        </is>
      </c>
      <c r="D615" t="n">
        <v>2</v>
      </c>
      <c r="E615" t="inlineStr">
        <is>
          <t>Infosec Co-Lead</t>
        </is>
      </c>
      <c r="F615">
        <f>SUMIF($A$2:$A$1594,A615,$D$2:$D$1594)</f>
        <v/>
      </c>
    </row>
    <row r="616">
      <c r="A616" t="inlineStr">
        <is>
          <t>Vargas Monzon, Julio</t>
        </is>
      </c>
      <c r="B616" t="inlineStr">
        <is>
          <t>El Salvador</t>
        </is>
      </c>
      <c r="C616" t="inlineStr">
        <is>
          <t>ELS04</t>
        </is>
      </c>
      <c r="D616" t="n">
        <v>2</v>
      </c>
      <c r="E616" t="inlineStr">
        <is>
          <t>Infosec Co-Lead</t>
        </is>
      </c>
      <c r="F616">
        <f>SUMIF($A$2:$A$1594,A616,$D$2:$D$1594)</f>
        <v/>
      </c>
    </row>
    <row r="617">
      <c r="A617" t="inlineStr">
        <is>
          <t>Vargas Monzon, Julio</t>
        </is>
      </c>
      <c r="B617" t="inlineStr">
        <is>
          <t>El Salvador</t>
        </is>
      </c>
      <c r="C617" t="inlineStr">
        <is>
          <t>ELS05</t>
        </is>
      </c>
      <c r="D617" t="n">
        <v>2</v>
      </c>
      <c r="E617" t="inlineStr">
        <is>
          <t>Infosec Co-Lead</t>
        </is>
      </c>
      <c r="F617">
        <f>SUMIF($A$2:$A$1594,A617,$D$2:$D$1594)</f>
        <v/>
      </c>
    </row>
    <row r="618">
      <c r="A618" t="inlineStr">
        <is>
          <t>Showalter, Caitlin</t>
        </is>
      </c>
      <c r="B618" t="inlineStr">
        <is>
          <t>El Salvador</t>
        </is>
      </c>
      <c r="C618" t="inlineStr">
        <is>
          <t>ELS01</t>
        </is>
      </c>
      <c r="D618" t="n">
        <v>1</v>
      </c>
      <c r="E618" t="inlineStr">
        <is>
          <t>M&amp;E and Learning</t>
        </is>
      </c>
      <c r="F618">
        <f>SUMIF($A$2:$A$1594,A618,$D$2:$D$1594)</f>
        <v/>
      </c>
    </row>
    <row r="619">
      <c r="A619" t="inlineStr">
        <is>
          <t>Showalter, Caitlin</t>
        </is>
      </c>
      <c r="B619" t="inlineStr">
        <is>
          <t>El Salvador</t>
        </is>
      </c>
      <c r="C619" t="inlineStr">
        <is>
          <t>ELS02</t>
        </is>
      </c>
      <c r="D619" t="n">
        <v>1</v>
      </c>
      <c r="E619" t="inlineStr">
        <is>
          <t>M&amp;E and Learning</t>
        </is>
      </c>
      <c r="F619">
        <f>SUMIF($A$2:$A$1594,A619,$D$2:$D$1594)</f>
        <v/>
      </c>
    </row>
    <row r="620">
      <c r="A620" t="inlineStr">
        <is>
          <t>Showalter, Caitlin</t>
        </is>
      </c>
      <c r="B620" t="inlineStr">
        <is>
          <t>El Salvador</t>
        </is>
      </c>
      <c r="C620" t="inlineStr">
        <is>
          <t>ELS03</t>
        </is>
      </c>
      <c r="D620" t="n">
        <v>1</v>
      </c>
      <c r="E620" t="inlineStr">
        <is>
          <t>M&amp;E and Learning</t>
        </is>
      </c>
      <c r="F620">
        <f>SUMIF($A$2:$A$1594,A620,$D$2:$D$1594)</f>
        <v/>
      </c>
    </row>
    <row r="621">
      <c r="A621" t="inlineStr">
        <is>
          <t>Showalter, Caitlin</t>
        </is>
      </c>
      <c r="B621" t="inlineStr">
        <is>
          <t>El Salvador</t>
        </is>
      </c>
      <c r="C621" t="inlineStr">
        <is>
          <t>ELS04</t>
        </is>
      </c>
      <c r="D621" t="n">
        <v>1</v>
      </c>
      <c r="E621" t="inlineStr">
        <is>
          <t>M&amp;E and Learning</t>
        </is>
      </c>
      <c r="F621">
        <f>SUMIF($A$2:$A$1594,A621,$D$2:$D$1594)</f>
        <v/>
      </c>
    </row>
    <row r="622">
      <c r="A622" t="inlineStr">
        <is>
          <t>Showalter, Caitlin</t>
        </is>
      </c>
      <c r="B622" t="inlineStr">
        <is>
          <t>El Salvador</t>
        </is>
      </c>
      <c r="C622" t="inlineStr">
        <is>
          <t>ELS05</t>
        </is>
      </c>
      <c r="D622" t="n">
        <v>1</v>
      </c>
      <c r="E622" t="inlineStr">
        <is>
          <t>M&amp;E and Learning</t>
        </is>
      </c>
      <c r="F622">
        <f>SUMIF($A$2:$A$1594,A622,$D$2:$D$1594)</f>
        <v/>
      </c>
    </row>
    <row r="623">
      <c r="A623" t="inlineStr">
        <is>
          <t>Miranda Rondon de Ro, Ing</t>
        </is>
      </c>
      <c r="B623" t="inlineStr">
        <is>
          <t>El Salvador</t>
        </is>
      </c>
      <c r="C623" t="inlineStr">
        <is>
          <t>ELS01</t>
        </is>
      </c>
      <c r="D623" t="n">
        <v>1</v>
      </c>
      <c r="E623" t="inlineStr">
        <is>
          <t>M&amp;E and Learning</t>
        </is>
      </c>
      <c r="F623">
        <f>SUMIF($A$2:$A$1594,A623,$D$2:$D$1594)</f>
        <v/>
      </c>
    </row>
    <row r="624">
      <c r="A624" t="inlineStr">
        <is>
          <t>Miranda Rondon de Ro, Ing</t>
        </is>
      </c>
      <c r="B624" t="inlineStr">
        <is>
          <t>El Salvador</t>
        </is>
      </c>
      <c r="C624" t="inlineStr">
        <is>
          <t>ELS02</t>
        </is>
      </c>
      <c r="D624" t="n">
        <v>1</v>
      </c>
      <c r="E624" t="inlineStr">
        <is>
          <t>M&amp;E and Learning</t>
        </is>
      </c>
      <c r="F624">
        <f>SUMIF($A$2:$A$1594,A624,$D$2:$D$1594)</f>
        <v/>
      </c>
    </row>
    <row r="625">
      <c r="A625" t="inlineStr">
        <is>
          <t>Miranda Rondon de Ro, Ing</t>
        </is>
      </c>
      <c r="B625" t="inlineStr">
        <is>
          <t>El Salvador</t>
        </is>
      </c>
      <c r="C625" t="inlineStr">
        <is>
          <t>ELS03</t>
        </is>
      </c>
      <c r="D625" t="n">
        <v>1</v>
      </c>
      <c r="E625" t="inlineStr">
        <is>
          <t>M&amp;E and Learning</t>
        </is>
      </c>
      <c r="F625">
        <f>SUMIF($A$2:$A$1594,A625,$D$2:$D$1594)</f>
        <v/>
      </c>
    </row>
    <row r="626">
      <c r="A626" t="inlineStr">
        <is>
          <t>Miranda Rondon de Ro, Ing</t>
        </is>
      </c>
      <c r="B626" t="inlineStr">
        <is>
          <t>El Salvador</t>
        </is>
      </c>
      <c r="C626" t="inlineStr">
        <is>
          <t>ELS04</t>
        </is>
      </c>
      <c r="D626" t="n">
        <v>1</v>
      </c>
      <c r="E626" t="inlineStr">
        <is>
          <t>M&amp;E and Learning</t>
        </is>
      </c>
      <c r="F626">
        <f>SUMIF($A$2:$A$1594,A626,$D$2:$D$1594)</f>
        <v/>
      </c>
    </row>
    <row r="627">
      <c r="A627" t="inlineStr">
        <is>
          <t>Miranda Rondon de Ro, Ing</t>
        </is>
      </c>
      <c r="B627" t="inlineStr">
        <is>
          <t>El Salvador</t>
        </is>
      </c>
      <c r="C627" t="inlineStr">
        <is>
          <t>ELS05</t>
        </is>
      </c>
      <c r="D627" t="n">
        <v>1</v>
      </c>
      <c r="E627" t="inlineStr">
        <is>
          <t>M&amp;E and Learning</t>
        </is>
      </c>
      <c r="F627">
        <f>SUMIF($A$2:$A$1594,A627,$D$2:$D$1594)</f>
        <v/>
      </c>
    </row>
    <row r="628">
      <c r="A628" t="inlineStr">
        <is>
          <t>Sakaguchi, Kevin</t>
        </is>
      </c>
      <c r="B628" t="inlineStr">
        <is>
          <t>El Salvador</t>
        </is>
      </c>
      <c r="C628" t="inlineStr">
        <is>
          <t>ELS01</t>
        </is>
      </c>
      <c r="D628" t="n">
        <v>1</v>
      </c>
      <c r="E628" t="inlineStr">
        <is>
          <t>M&amp;E and Learning</t>
        </is>
      </c>
      <c r="F628">
        <f>SUMIF($A$2:$A$1594,A628,$D$2:$D$1594)</f>
        <v/>
      </c>
    </row>
    <row r="629">
      <c r="A629" t="inlineStr">
        <is>
          <t>Sakaguchi, Kevin</t>
        </is>
      </c>
      <c r="B629" t="inlineStr">
        <is>
          <t>El Salvador</t>
        </is>
      </c>
      <c r="C629" t="inlineStr">
        <is>
          <t>ELS02</t>
        </is>
      </c>
      <c r="D629" t="n">
        <v>1</v>
      </c>
      <c r="E629" t="inlineStr">
        <is>
          <t>M&amp;E and Learning</t>
        </is>
      </c>
      <c r="F629">
        <f>SUMIF($A$2:$A$1594,A629,$D$2:$D$1594)</f>
        <v/>
      </c>
    </row>
    <row r="630">
      <c r="A630" t="inlineStr">
        <is>
          <t>Sakaguchi, Kevin</t>
        </is>
      </c>
      <c r="B630" t="inlineStr">
        <is>
          <t>El Salvador</t>
        </is>
      </c>
      <c r="C630" t="inlineStr">
        <is>
          <t>ELS03</t>
        </is>
      </c>
      <c r="D630" t="n">
        <v>1</v>
      </c>
      <c r="E630" t="inlineStr">
        <is>
          <t>M&amp;E and Learning</t>
        </is>
      </c>
      <c r="F630">
        <f>SUMIF($A$2:$A$1594,A630,$D$2:$D$1594)</f>
        <v/>
      </c>
    </row>
    <row r="631">
      <c r="A631" t="inlineStr">
        <is>
          <t>Sakaguchi, Kevin</t>
        </is>
      </c>
      <c r="B631" t="inlineStr">
        <is>
          <t>El Salvador</t>
        </is>
      </c>
      <c r="C631" t="inlineStr">
        <is>
          <t>ELS04</t>
        </is>
      </c>
      <c r="D631" t="n">
        <v>1</v>
      </c>
      <c r="E631" t="inlineStr">
        <is>
          <t>M&amp;E and Learning</t>
        </is>
      </c>
      <c r="F631">
        <f>SUMIF($A$2:$A$1594,A631,$D$2:$D$1594)</f>
        <v/>
      </c>
    </row>
    <row r="632">
      <c r="A632" t="inlineStr">
        <is>
          <t>Sakaguchi, Kevin</t>
        </is>
      </c>
      <c r="B632" t="inlineStr">
        <is>
          <t>El Salvador</t>
        </is>
      </c>
      <c r="C632" t="inlineStr">
        <is>
          <t>ELS05</t>
        </is>
      </c>
      <c r="D632" t="n">
        <v>1</v>
      </c>
      <c r="E632" t="inlineStr">
        <is>
          <t>M&amp;E and Learning</t>
        </is>
      </c>
      <c r="F632">
        <f>SUMIF($A$2:$A$1594,A632,$D$2:$D$1594)</f>
        <v/>
      </c>
    </row>
    <row r="633">
      <c r="A633" t="inlineStr">
        <is>
          <t>Claussen, Laurence</t>
        </is>
      </c>
      <c r="B633" t="inlineStr">
        <is>
          <t>El Salvador</t>
        </is>
      </c>
      <c r="C633" t="inlineStr">
        <is>
          <t>ELS01</t>
        </is>
      </c>
      <c r="D633" t="n">
        <v>1</v>
      </c>
      <c r="E633" t="inlineStr">
        <is>
          <t>Comms Manager</t>
        </is>
      </c>
      <c r="F633">
        <f>SUMIF($A$2:$A$1594,A633,$D$2:$D$1594)</f>
        <v/>
      </c>
    </row>
    <row r="634">
      <c r="A634" t="inlineStr">
        <is>
          <t>Claussen, Laurence</t>
        </is>
      </c>
      <c r="B634" t="inlineStr">
        <is>
          <t>El Salvador</t>
        </is>
      </c>
      <c r="C634" t="inlineStr">
        <is>
          <t>ELS02</t>
        </is>
      </c>
      <c r="D634" t="n">
        <v>1</v>
      </c>
      <c r="E634" t="inlineStr">
        <is>
          <t>Comms Manager</t>
        </is>
      </c>
      <c r="F634">
        <f>SUMIF($A$2:$A$1594,A634,$D$2:$D$1594)</f>
        <v/>
      </c>
    </row>
    <row r="635">
      <c r="A635" t="inlineStr">
        <is>
          <t>Claussen, Laurence</t>
        </is>
      </c>
      <c r="B635" t="inlineStr">
        <is>
          <t>El Salvador</t>
        </is>
      </c>
      <c r="C635" t="inlineStr">
        <is>
          <t>ELS03</t>
        </is>
      </c>
      <c r="D635" t="n">
        <v>1</v>
      </c>
      <c r="E635" t="inlineStr">
        <is>
          <t>Comms Manager</t>
        </is>
      </c>
      <c r="F635">
        <f>SUMIF($A$2:$A$1594,A635,$D$2:$D$1594)</f>
        <v/>
      </c>
    </row>
    <row r="636">
      <c r="A636" t="inlineStr">
        <is>
          <t>Claussen, Laurence</t>
        </is>
      </c>
      <c r="B636" t="inlineStr">
        <is>
          <t>El Salvador</t>
        </is>
      </c>
      <c r="C636" t="inlineStr">
        <is>
          <t>ELS04</t>
        </is>
      </c>
      <c r="D636" t="n">
        <v>1</v>
      </c>
      <c r="E636" t="inlineStr">
        <is>
          <t>Comms Manager</t>
        </is>
      </c>
      <c r="F636">
        <f>SUMIF($A$2:$A$1594,A636,$D$2:$D$1594)</f>
        <v/>
      </c>
    </row>
    <row r="637">
      <c r="A637" t="inlineStr">
        <is>
          <t>Claussen, Laurence</t>
        </is>
      </c>
      <c r="B637" t="inlineStr">
        <is>
          <t>El Salvador</t>
        </is>
      </c>
      <c r="C637" t="inlineStr">
        <is>
          <t>ELS05</t>
        </is>
      </c>
      <c r="D637" t="n">
        <v>1</v>
      </c>
      <c r="E637" t="inlineStr">
        <is>
          <t>Comms Manager</t>
        </is>
      </c>
      <c r="F637">
        <f>SUMIF($A$2:$A$1594,A637,$D$2:$D$1594)</f>
        <v/>
      </c>
    </row>
    <row r="638">
      <c r="A638" t="inlineStr">
        <is>
          <t>Mathias, John</t>
        </is>
      </c>
      <c r="B638" t="inlineStr">
        <is>
          <t>El Salvador</t>
        </is>
      </c>
      <c r="C638" t="inlineStr">
        <is>
          <t>ELS01</t>
        </is>
      </c>
      <c r="D638" t="n">
        <v>1</v>
      </c>
      <c r="E638" t="inlineStr">
        <is>
          <t>Operations Director</t>
        </is>
      </c>
      <c r="F638">
        <f>SUMIF($A$2:$A$1594,A638,$D$2:$D$1594)</f>
        <v/>
      </c>
    </row>
    <row r="639">
      <c r="A639" t="inlineStr">
        <is>
          <t>Mathias, John</t>
        </is>
      </c>
      <c r="B639" t="inlineStr">
        <is>
          <t>El Salvador</t>
        </is>
      </c>
      <c r="C639" t="inlineStr">
        <is>
          <t>ELS02</t>
        </is>
      </c>
      <c r="D639" t="n">
        <v>1</v>
      </c>
      <c r="E639" t="inlineStr">
        <is>
          <t>Operations Director</t>
        </is>
      </c>
      <c r="F639">
        <f>SUMIF($A$2:$A$1594,A639,$D$2:$D$1594)</f>
        <v/>
      </c>
    </row>
    <row r="640">
      <c r="A640" t="inlineStr">
        <is>
          <t>Mathias, John</t>
        </is>
      </c>
      <c r="B640" t="inlineStr">
        <is>
          <t>El Salvador</t>
        </is>
      </c>
      <c r="C640" t="inlineStr">
        <is>
          <t>ELS03</t>
        </is>
      </c>
      <c r="D640" t="n">
        <v>1</v>
      </c>
      <c r="E640" t="inlineStr">
        <is>
          <t>Operations Director</t>
        </is>
      </c>
      <c r="F640">
        <f>SUMIF($A$2:$A$1594,A640,$D$2:$D$1594)</f>
        <v/>
      </c>
    </row>
    <row r="641">
      <c r="A641" t="inlineStr">
        <is>
          <t>Mathias, John</t>
        </is>
      </c>
      <c r="B641" t="inlineStr">
        <is>
          <t>El Salvador</t>
        </is>
      </c>
      <c r="C641" t="inlineStr">
        <is>
          <t>ELS04</t>
        </is>
      </c>
      <c r="D641" t="n">
        <v>1</v>
      </c>
      <c r="E641" t="inlineStr">
        <is>
          <t>Operations Director</t>
        </is>
      </c>
      <c r="F641">
        <f>SUMIF($A$2:$A$1594,A641,$D$2:$D$1594)</f>
        <v/>
      </c>
    </row>
    <row r="642">
      <c r="A642" t="inlineStr">
        <is>
          <t>Mathias, John</t>
        </is>
      </c>
      <c r="B642" t="inlineStr">
        <is>
          <t>El Salvador</t>
        </is>
      </c>
      <c r="C642" t="inlineStr">
        <is>
          <t>ELS05</t>
        </is>
      </c>
      <c r="D642" t="n">
        <v>1</v>
      </c>
      <c r="E642" t="inlineStr">
        <is>
          <t>Operations Director</t>
        </is>
      </c>
      <c r="F642">
        <f>SUMIF($A$2:$A$1594,A642,$D$2:$D$1594)</f>
        <v/>
      </c>
    </row>
    <row r="643">
      <c r="A643" t="inlineStr">
        <is>
          <t>Misomali, Mark</t>
        </is>
      </c>
      <c r="B643" t="inlineStr">
        <is>
          <t>El Salvador</t>
        </is>
      </c>
      <c r="C643" t="inlineStr">
        <is>
          <t>ELS01</t>
        </is>
      </c>
      <c r="D643" t="n">
        <v>1</v>
      </c>
      <c r="E643" t="inlineStr">
        <is>
          <t xml:space="preserve">Operations Sr Finance Manager   </t>
        </is>
      </c>
      <c r="F643">
        <f>SUMIF($A$2:$A$1594,A643,$D$2:$D$1594)</f>
        <v/>
      </c>
    </row>
    <row r="644">
      <c r="A644" t="inlineStr">
        <is>
          <t>Misomali, Mark</t>
        </is>
      </c>
      <c r="B644" t="inlineStr">
        <is>
          <t>El Salvador</t>
        </is>
      </c>
      <c r="C644" t="inlineStr">
        <is>
          <t>ELS02</t>
        </is>
      </c>
      <c r="D644" t="n">
        <v>1</v>
      </c>
      <c r="E644" t="inlineStr">
        <is>
          <t xml:space="preserve">Operations Sr Finance Manager   </t>
        </is>
      </c>
      <c r="F644">
        <f>SUMIF($A$2:$A$1594,A644,$D$2:$D$1594)</f>
        <v/>
      </c>
    </row>
    <row r="645">
      <c r="A645" t="inlineStr">
        <is>
          <t>Misomali, Mark</t>
        </is>
      </c>
      <c r="B645" t="inlineStr">
        <is>
          <t>El Salvador</t>
        </is>
      </c>
      <c r="C645" t="inlineStr">
        <is>
          <t>ELS03</t>
        </is>
      </c>
      <c r="D645" t="n">
        <v>1</v>
      </c>
      <c r="E645" t="inlineStr">
        <is>
          <t xml:space="preserve">Operations Sr Finance Manager   </t>
        </is>
      </c>
      <c r="F645">
        <f>SUMIF($A$2:$A$1594,A645,$D$2:$D$1594)</f>
        <v/>
      </c>
    </row>
    <row r="646">
      <c r="A646" t="inlineStr">
        <is>
          <t>Misomali, Mark</t>
        </is>
      </c>
      <c r="B646" t="inlineStr">
        <is>
          <t>El Salvador</t>
        </is>
      </c>
      <c r="C646" t="inlineStr">
        <is>
          <t>ELS04</t>
        </is>
      </c>
      <c r="D646" t="n">
        <v>1</v>
      </c>
      <c r="E646" t="inlineStr">
        <is>
          <t xml:space="preserve">Operations Sr Finance Manager   </t>
        </is>
      </c>
      <c r="F646">
        <f>SUMIF($A$2:$A$1594,A646,$D$2:$D$1594)</f>
        <v/>
      </c>
    </row>
    <row r="647">
      <c r="A647" t="inlineStr">
        <is>
          <t>Misomali, Mark</t>
        </is>
      </c>
      <c r="B647" t="inlineStr">
        <is>
          <t>El Salvador</t>
        </is>
      </c>
      <c r="C647" t="inlineStr">
        <is>
          <t>ELS05</t>
        </is>
      </c>
      <c r="D647" t="n">
        <v>1</v>
      </c>
      <c r="E647" t="inlineStr">
        <is>
          <t xml:space="preserve">Operations Sr Finance Manager   </t>
        </is>
      </c>
      <c r="F647">
        <f>SUMIF($A$2:$A$1594,A647,$D$2:$D$1594)</f>
        <v/>
      </c>
    </row>
    <row r="648">
      <c r="A648" t="inlineStr">
        <is>
          <t>Noorzai, Mahmood</t>
        </is>
      </c>
      <c r="B648" t="inlineStr">
        <is>
          <t>El Salvador</t>
        </is>
      </c>
      <c r="C648" t="inlineStr">
        <is>
          <t>ELS01</t>
        </is>
      </c>
      <c r="D648" t="n">
        <v>1</v>
      </c>
      <c r="E648" t="inlineStr">
        <is>
          <t>Operations Finance Associate</t>
        </is>
      </c>
      <c r="F648">
        <f>SUMIF($A$2:$A$1594,A648,$D$2:$D$1594)</f>
        <v/>
      </c>
    </row>
    <row r="649">
      <c r="A649" t="inlineStr">
        <is>
          <t>Noorzai, Mahmood</t>
        </is>
      </c>
      <c r="B649" t="inlineStr">
        <is>
          <t>El Salvador</t>
        </is>
      </c>
      <c r="C649" t="inlineStr">
        <is>
          <t>ELS02</t>
        </is>
      </c>
      <c r="D649" t="n">
        <v>1</v>
      </c>
      <c r="E649" t="inlineStr">
        <is>
          <t>Operations Finance Associate</t>
        </is>
      </c>
      <c r="F649">
        <f>SUMIF($A$2:$A$1594,A649,$D$2:$D$1594)</f>
        <v/>
      </c>
    </row>
    <row r="650">
      <c r="A650" t="inlineStr">
        <is>
          <t>Noorzai, Mahmood</t>
        </is>
      </c>
      <c r="B650" t="inlineStr">
        <is>
          <t>El Salvador</t>
        </is>
      </c>
      <c r="C650" t="inlineStr">
        <is>
          <t>ELS03</t>
        </is>
      </c>
      <c r="D650" t="n">
        <v>1</v>
      </c>
      <c r="E650" t="inlineStr">
        <is>
          <t>Operations Finance Associate</t>
        </is>
      </c>
      <c r="F650">
        <f>SUMIF($A$2:$A$1594,A650,$D$2:$D$1594)</f>
        <v/>
      </c>
    </row>
    <row r="651">
      <c r="A651" t="inlineStr">
        <is>
          <t>Noorzai, Mahmood</t>
        </is>
      </c>
      <c r="B651" t="inlineStr">
        <is>
          <t>El Salvador</t>
        </is>
      </c>
      <c r="C651" t="inlineStr">
        <is>
          <t>ELS04</t>
        </is>
      </c>
      <c r="D651" t="n">
        <v>1</v>
      </c>
      <c r="E651" t="inlineStr">
        <is>
          <t>Operations Finance Associate</t>
        </is>
      </c>
      <c r="F651">
        <f>SUMIF($A$2:$A$1594,A651,$D$2:$D$1594)</f>
        <v/>
      </c>
    </row>
    <row r="652">
      <c r="A652" t="inlineStr">
        <is>
          <t>Noorzai, Mahmood</t>
        </is>
      </c>
      <c r="B652" t="inlineStr">
        <is>
          <t>El Salvador</t>
        </is>
      </c>
      <c r="C652" t="inlineStr">
        <is>
          <t>ELS05</t>
        </is>
      </c>
      <c r="D652" t="n">
        <v>1</v>
      </c>
      <c r="E652" t="inlineStr">
        <is>
          <t>Operations Finance Associate</t>
        </is>
      </c>
      <c r="F652">
        <f>SUMIF($A$2:$A$1594,A652,$D$2:$D$1594)</f>
        <v/>
      </c>
    </row>
    <row r="653">
      <c r="A653" t="inlineStr">
        <is>
          <t>Mawandia, Shreshth</t>
        </is>
      </c>
      <c r="B653" t="inlineStr">
        <is>
          <t>Eswatini</t>
        </is>
      </c>
      <c r="C653" t="inlineStr">
        <is>
          <t>ESW01</t>
        </is>
      </c>
      <c r="D653" t="n">
        <v>0.625</v>
      </c>
      <c r="E653" t="inlineStr">
        <is>
          <t>KP - Project Director</t>
        </is>
      </c>
      <c r="F653">
        <f>SUMIF($A$2:$A$1594,A653,$D$2:$D$1594)</f>
        <v/>
      </c>
    </row>
    <row r="654">
      <c r="A654" t="inlineStr">
        <is>
          <t>Mawandia, Shreshth</t>
        </is>
      </c>
      <c r="B654" t="inlineStr">
        <is>
          <t>Eswatini</t>
        </is>
      </c>
      <c r="C654" t="inlineStr">
        <is>
          <t>ESW02</t>
        </is>
      </c>
      <c r="D654" t="n">
        <v>0.625</v>
      </c>
      <c r="E654" t="inlineStr">
        <is>
          <t>KP - Project Director</t>
        </is>
      </c>
      <c r="F654">
        <f>SUMIF($A$2:$A$1594,A654,$D$2:$D$1594)</f>
        <v/>
      </c>
    </row>
    <row r="655">
      <c r="A655" t="inlineStr">
        <is>
          <t>Mawandia, Shreshth</t>
        </is>
      </c>
      <c r="B655" t="inlineStr">
        <is>
          <t>Eswatini</t>
        </is>
      </c>
      <c r="C655" t="inlineStr">
        <is>
          <t>ESW03</t>
        </is>
      </c>
      <c r="D655" t="n">
        <v>1.25</v>
      </c>
      <c r="E655" t="inlineStr">
        <is>
          <t>KP - Project Director</t>
        </is>
      </c>
      <c r="F655">
        <f>SUMIF($A$2:$A$1594,A655,$D$2:$D$1594)</f>
        <v/>
      </c>
    </row>
    <row r="656">
      <c r="A656" t="inlineStr">
        <is>
          <t>Mawandia, Shreshth</t>
        </is>
      </c>
      <c r="B656" t="inlineStr">
        <is>
          <t>Eswatini</t>
        </is>
      </c>
      <c r="C656" t="inlineStr">
        <is>
          <t>ESW04</t>
        </is>
      </c>
      <c r="D656" t="n">
        <v>0.625</v>
      </c>
      <c r="E656" t="inlineStr">
        <is>
          <t>KP - Project Director</t>
        </is>
      </c>
      <c r="F656">
        <f>SUMIF($A$2:$A$1594,A656,$D$2:$D$1594)</f>
        <v/>
      </c>
    </row>
    <row r="657">
      <c r="A657" t="inlineStr">
        <is>
          <t>Mawandia, Shreshth</t>
        </is>
      </c>
      <c r="B657" t="inlineStr">
        <is>
          <t>Eswatini</t>
        </is>
      </c>
      <c r="C657" t="inlineStr">
        <is>
          <t>ESW07</t>
        </is>
      </c>
      <c r="D657" t="n">
        <v>0.625</v>
      </c>
      <c r="E657" t="inlineStr">
        <is>
          <t>KP - Project Director</t>
        </is>
      </c>
      <c r="F657">
        <f>SUMIF($A$2:$A$1594,A657,$D$2:$D$1594)</f>
        <v/>
      </c>
    </row>
    <row r="658">
      <c r="A658" t="inlineStr">
        <is>
          <t>Mawandia, Shreshth</t>
        </is>
      </c>
      <c r="B658" t="inlineStr">
        <is>
          <t>Eswatini</t>
        </is>
      </c>
      <c r="C658" t="inlineStr">
        <is>
          <t>ESW08</t>
        </is>
      </c>
      <c r="D658" t="n">
        <v>0.625</v>
      </c>
      <c r="E658" t="inlineStr">
        <is>
          <t>KP - Project Director</t>
        </is>
      </c>
      <c r="F658">
        <f>SUMIF($A$2:$A$1594,A658,$D$2:$D$1594)</f>
        <v/>
      </c>
    </row>
    <row r="659">
      <c r="A659" t="inlineStr">
        <is>
          <t>Nigussie, Netsanet</t>
        </is>
      </c>
      <c r="B659" t="inlineStr">
        <is>
          <t>Eswatini</t>
        </is>
      </c>
      <c r="C659" t="inlineStr">
        <is>
          <t>ESW01</t>
        </is>
      </c>
      <c r="D659" t="n">
        <v>0.625</v>
      </c>
      <c r="E659" t="inlineStr">
        <is>
          <t>KP - Technical Director</t>
        </is>
      </c>
      <c r="F659">
        <f>SUMIF($A$2:$A$1594,A659,$D$2:$D$1594)</f>
        <v/>
      </c>
    </row>
    <row r="660">
      <c r="A660" t="inlineStr">
        <is>
          <t>Nigussie, Netsanet</t>
        </is>
      </c>
      <c r="B660" t="inlineStr">
        <is>
          <t>Eswatini</t>
        </is>
      </c>
      <c r="C660" t="inlineStr">
        <is>
          <t>ESW02</t>
        </is>
      </c>
      <c r="D660" t="n">
        <v>0.625</v>
      </c>
      <c r="E660" t="inlineStr">
        <is>
          <t>KP - Technical Director</t>
        </is>
      </c>
      <c r="F660">
        <f>SUMIF($A$2:$A$1594,A660,$D$2:$D$1594)</f>
        <v/>
      </c>
    </row>
    <row r="661">
      <c r="A661" t="inlineStr">
        <is>
          <t>Nigussie, Netsanet</t>
        </is>
      </c>
      <c r="B661" t="inlineStr">
        <is>
          <t>Eswatini</t>
        </is>
      </c>
      <c r="C661" t="inlineStr">
        <is>
          <t>ESW03</t>
        </is>
      </c>
      <c r="D661" t="n">
        <v>1.25</v>
      </c>
      <c r="E661" t="inlineStr">
        <is>
          <t>KP - Technical Director</t>
        </is>
      </c>
      <c r="F661">
        <f>SUMIF($A$2:$A$1594,A661,$D$2:$D$1594)</f>
        <v/>
      </c>
    </row>
    <row r="662">
      <c r="A662" t="inlineStr">
        <is>
          <t>Nigussie, Netsanet</t>
        </is>
      </c>
      <c r="B662" t="inlineStr">
        <is>
          <t>Eswatini</t>
        </is>
      </c>
      <c r="C662" t="inlineStr">
        <is>
          <t>ESW04</t>
        </is>
      </c>
      <c r="D662" t="n">
        <v>0.625</v>
      </c>
      <c r="E662" t="inlineStr">
        <is>
          <t>KP - Technical Director</t>
        </is>
      </c>
      <c r="F662">
        <f>SUMIF($A$2:$A$1594,A662,$D$2:$D$1594)</f>
        <v/>
      </c>
    </row>
    <row r="663">
      <c r="A663" t="inlineStr">
        <is>
          <t>Nigussie, Netsanet</t>
        </is>
      </c>
      <c r="B663" t="inlineStr">
        <is>
          <t>Eswatini</t>
        </is>
      </c>
      <c r="C663" t="inlineStr">
        <is>
          <t>ESW07</t>
        </is>
      </c>
      <c r="D663" t="n">
        <v>0.625</v>
      </c>
      <c r="E663" t="inlineStr">
        <is>
          <t>KP - Technical Director</t>
        </is>
      </c>
      <c r="F663">
        <f>SUMIF($A$2:$A$1594,A663,$D$2:$D$1594)</f>
        <v/>
      </c>
    </row>
    <row r="664">
      <c r="A664" t="inlineStr">
        <is>
          <t>Nigussie, Netsanet</t>
        </is>
      </c>
      <c r="B664" t="inlineStr">
        <is>
          <t>Eswatini</t>
        </is>
      </c>
      <c r="C664" t="inlineStr">
        <is>
          <t>ESW08</t>
        </is>
      </c>
      <c r="D664" t="n">
        <v>0.625</v>
      </c>
      <c r="E664" t="inlineStr">
        <is>
          <t>KP - Technical Director</t>
        </is>
      </c>
      <c r="F664">
        <f>SUMIF($A$2:$A$1594,A664,$D$2:$D$1594)</f>
        <v/>
      </c>
    </row>
    <row r="665">
      <c r="A665" t="inlineStr">
        <is>
          <t>Mensah, Margaret</t>
        </is>
      </c>
      <c r="B665" t="inlineStr">
        <is>
          <t>Eswatini</t>
        </is>
      </c>
      <c r="C665" t="inlineStr">
        <is>
          <t>ESW01</t>
        </is>
      </c>
      <c r="D665" t="n">
        <v>0.625</v>
      </c>
      <c r="E665" t="inlineStr">
        <is>
          <t>KP - Finance Director</t>
        </is>
      </c>
      <c r="F665">
        <f>SUMIF($A$2:$A$1594,A665,$D$2:$D$1594)</f>
        <v/>
      </c>
    </row>
    <row r="666">
      <c r="A666" t="inlineStr">
        <is>
          <t>Mensah, Margaret</t>
        </is>
      </c>
      <c r="B666" t="inlineStr">
        <is>
          <t>Eswatini</t>
        </is>
      </c>
      <c r="C666" t="inlineStr">
        <is>
          <t>ESW02</t>
        </is>
      </c>
      <c r="D666" t="n">
        <v>0.625</v>
      </c>
      <c r="E666" t="inlineStr">
        <is>
          <t>KP - Finance Director</t>
        </is>
      </c>
      <c r="F666">
        <f>SUMIF($A$2:$A$1594,A666,$D$2:$D$1594)</f>
        <v/>
      </c>
    </row>
    <row r="667">
      <c r="A667" t="inlineStr">
        <is>
          <t>Mensah, Margaret</t>
        </is>
      </c>
      <c r="B667" t="inlineStr">
        <is>
          <t>Eswatini</t>
        </is>
      </c>
      <c r="C667" t="inlineStr">
        <is>
          <t>ESW03</t>
        </is>
      </c>
      <c r="D667" t="n">
        <v>1.25</v>
      </c>
      <c r="E667" t="inlineStr">
        <is>
          <t>KP - Finance Director</t>
        </is>
      </c>
      <c r="F667">
        <f>SUMIF($A$2:$A$1594,A667,$D$2:$D$1594)</f>
        <v/>
      </c>
    </row>
    <row r="668">
      <c r="A668" t="inlineStr">
        <is>
          <t>Mensah, Margaret</t>
        </is>
      </c>
      <c r="B668" t="inlineStr">
        <is>
          <t>Eswatini</t>
        </is>
      </c>
      <c r="C668" t="inlineStr">
        <is>
          <t>ESW04</t>
        </is>
      </c>
      <c r="D668" t="n">
        <v>0.625</v>
      </c>
      <c r="E668" t="inlineStr">
        <is>
          <t>KP - Finance Director</t>
        </is>
      </c>
      <c r="F668">
        <f>SUMIF($A$2:$A$1594,A668,$D$2:$D$1594)</f>
        <v/>
      </c>
    </row>
    <row r="669">
      <c r="A669" t="inlineStr">
        <is>
          <t>Mensah, Margaret</t>
        </is>
      </c>
      <c r="B669" t="inlineStr">
        <is>
          <t>Eswatini</t>
        </is>
      </c>
      <c r="C669" t="inlineStr">
        <is>
          <t>ESW07</t>
        </is>
      </c>
      <c r="D669" t="n">
        <v>0.625</v>
      </c>
      <c r="E669" t="inlineStr">
        <is>
          <t>KP - Finance Director</t>
        </is>
      </c>
      <c r="F669">
        <f>SUMIF($A$2:$A$1594,A669,$D$2:$D$1594)</f>
        <v/>
      </c>
    </row>
    <row r="670">
      <c r="A670" t="inlineStr">
        <is>
          <t>Mensah, Margaret</t>
        </is>
      </c>
      <c r="B670" t="inlineStr">
        <is>
          <t>Eswatini</t>
        </is>
      </c>
      <c r="C670" t="inlineStr">
        <is>
          <t>ESW08</t>
        </is>
      </c>
      <c r="D670" t="n">
        <v>0.625</v>
      </c>
      <c r="E670" t="inlineStr">
        <is>
          <t>KP - Finance Director</t>
        </is>
      </c>
      <c r="F670">
        <f>SUMIF($A$2:$A$1594,A670,$D$2:$D$1594)</f>
        <v/>
      </c>
    </row>
    <row r="671">
      <c r="A671" t="inlineStr">
        <is>
          <t>Friedman, Jonathan</t>
        </is>
      </c>
      <c r="B671" t="inlineStr">
        <is>
          <t>Eswatini</t>
        </is>
      </c>
      <c r="C671" t="inlineStr">
        <is>
          <t>ESW01</t>
        </is>
      </c>
      <c r="D671" t="n">
        <v>0.625</v>
      </c>
      <c r="E671" t="inlineStr">
        <is>
          <t>AI/ML Lead</t>
        </is>
      </c>
      <c r="F671">
        <f>SUMIF($A$2:$A$1594,A671,$D$2:$D$1594)</f>
        <v/>
      </c>
    </row>
    <row r="672">
      <c r="A672" t="inlineStr">
        <is>
          <t>Friedman, Jonathan</t>
        </is>
      </c>
      <c r="B672" t="inlineStr">
        <is>
          <t>Eswatini</t>
        </is>
      </c>
      <c r="C672" t="inlineStr">
        <is>
          <t>ESW02</t>
        </is>
      </c>
      <c r="D672" t="n">
        <v>0.625</v>
      </c>
      <c r="E672" t="inlineStr">
        <is>
          <t>AI/ML Lead</t>
        </is>
      </c>
      <c r="F672">
        <f>SUMIF($A$2:$A$1594,A672,$D$2:$D$1594)</f>
        <v/>
      </c>
    </row>
    <row r="673">
      <c r="A673" t="inlineStr">
        <is>
          <t>Friedman, Jonathan</t>
        </is>
      </c>
      <c r="B673" t="inlineStr">
        <is>
          <t>Eswatini</t>
        </is>
      </c>
      <c r="C673" t="inlineStr">
        <is>
          <t>ESW03</t>
        </is>
      </c>
      <c r="D673" t="n">
        <v>1.25</v>
      </c>
      <c r="E673" t="inlineStr">
        <is>
          <t>AI/ML Lead</t>
        </is>
      </c>
      <c r="F673">
        <f>SUMIF($A$2:$A$1594,A673,$D$2:$D$1594)</f>
        <v/>
      </c>
    </row>
    <row r="674">
      <c r="A674" t="inlineStr">
        <is>
          <t>Friedman, Jonathan</t>
        </is>
      </c>
      <c r="B674" t="inlineStr">
        <is>
          <t>Eswatini</t>
        </is>
      </c>
      <c r="C674" t="inlineStr">
        <is>
          <t>ESW04</t>
        </is>
      </c>
      <c r="D674" t="n">
        <v>0.625</v>
      </c>
      <c r="E674" t="inlineStr">
        <is>
          <t>AI/ML Lead</t>
        </is>
      </c>
      <c r="F674">
        <f>SUMIF($A$2:$A$1594,A674,$D$2:$D$1594)</f>
        <v/>
      </c>
    </row>
    <row r="675">
      <c r="A675" t="inlineStr">
        <is>
          <t>Friedman, Jonathan</t>
        </is>
      </c>
      <c r="B675" t="inlineStr">
        <is>
          <t>Eswatini</t>
        </is>
      </c>
      <c r="C675" t="inlineStr">
        <is>
          <t>ESW07</t>
        </is>
      </c>
      <c r="D675" t="n">
        <v>0.625</v>
      </c>
      <c r="E675" t="inlineStr">
        <is>
          <t>AI/ML Lead</t>
        </is>
      </c>
      <c r="F675">
        <f>SUMIF($A$2:$A$1594,A675,$D$2:$D$1594)</f>
        <v/>
      </c>
    </row>
    <row r="676">
      <c r="A676" t="inlineStr">
        <is>
          <t>Friedman, Jonathan</t>
        </is>
      </c>
      <c r="B676" t="inlineStr">
        <is>
          <t>Eswatini</t>
        </is>
      </c>
      <c r="C676" t="inlineStr">
        <is>
          <t>ESW08</t>
        </is>
      </c>
      <c r="D676" t="n">
        <v>0.625</v>
      </c>
      <c r="E676" t="inlineStr">
        <is>
          <t>AI/ML Lead</t>
        </is>
      </c>
      <c r="F676">
        <f>SUMIF($A$2:$A$1594,A676,$D$2:$D$1594)</f>
        <v/>
      </c>
    </row>
    <row r="677">
      <c r="A677" t="inlineStr">
        <is>
          <t>Mavyuva, Boniface</t>
        </is>
      </c>
      <c r="B677" t="inlineStr">
        <is>
          <t>Eswatini</t>
        </is>
      </c>
      <c r="C677" t="inlineStr">
        <is>
          <t>ESW01</t>
        </is>
      </c>
      <c r="D677" t="n">
        <v>0.25</v>
      </c>
      <c r="E677" t="inlineStr">
        <is>
          <t>Dig Infrastructure Lead</t>
        </is>
      </c>
      <c r="F677">
        <f>SUMIF($A$2:$A$1594,A677,$D$2:$D$1594)</f>
        <v/>
      </c>
    </row>
    <row r="678">
      <c r="A678" t="inlineStr">
        <is>
          <t>Mavyuva, Boniface</t>
        </is>
      </c>
      <c r="B678" t="inlineStr">
        <is>
          <t>Eswatini</t>
        </is>
      </c>
      <c r="C678" t="inlineStr">
        <is>
          <t>ESW02</t>
        </is>
      </c>
      <c r="D678" t="n">
        <v>0.25</v>
      </c>
      <c r="E678" t="inlineStr">
        <is>
          <t>Dig Infrastructure Lead</t>
        </is>
      </c>
      <c r="F678">
        <f>SUMIF($A$2:$A$1594,A678,$D$2:$D$1594)</f>
        <v/>
      </c>
    </row>
    <row r="679">
      <c r="A679" t="inlineStr">
        <is>
          <t>Mavyuva, Boniface</t>
        </is>
      </c>
      <c r="B679" t="inlineStr">
        <is>
          <t>Eswatini</t>
        </is>
      </c>
      <c r="C679" t="inlineStr">
        <is>
          <t>ESW03</t>
        </is>
      </c>
      <c r="D679" t="n">
        <v>0.5</v>
      </c>
      <c r="E679" t="inlineStr">
        <is>
          <t>Dig Infrastructure Lead</t>
        </is>
      </c>
      <c r="F679">
        <f>SUMIF($A$2:$A$1594,A679,$D$2:$D$1594)</f>
        <v/>
      </c>
    </row>
    <row r="680">
      <c r="A680" t="inlineStr">
        <is>
          <t>Mavyuva, Boniface</t>
        </is>
      </c>
      <c r="B680" t="inlineStr">
        <is>
          <t>Eswatini</t>
        </is>
      </c>
      <c r="C680" t="inlineStr">
        <is>
          <t>ESW04</t>
        </is>
      </c>
      <c r="D680" t="n">
        <v>0.25</v>
      </c>
      <c r="E680" t="inlineStr">
        <is>
          <t>Dig Infrastructure Lead</t>
        </is>
      </c>
      <c r="F680">
        <f>SUMIF($A$2:$A$1594,A680,$D$2:$D$1594)</f>
        <v/>
      </c>
    </row>
    <row r="681">
      <c r="A681" t="inlineStr">
        <is>
          <t>Mavyuva, Boniface</t>
        </is>
      </c>
      <c r="B681" t="inlineStr">
        <is>
          <t>Eswatini</t>
        </is>
      </c>
      <c r="C681" t="inlineStr">
        <is>
          <t>ESW07</t>
        </is>
      </c>
      <c r="D681" t="n">
        <v>0.25</v>
      </c>
      <c r="E681" t="inlineStr">
        <is>
          <t>Dig Infrastructure Lead</t>
        </is>
      </c>
      <c r="F681">
        <f>SUMIF($A$2:$A$1594,A681,$D$2:$D$1594)</f>
        <v/>
      </c>
    </row>
    <row r="682">
      <c r="A682" t="inlineStr">
        <is>
          <t>Mavyuva, Boniface</t>
        </is>
      </c>
      <c r="B682" t="inlineStr">
        <is>
          <t>Eswatini</t>
        </is>
      </c>
      <c r="C682" t="inlineStr">
        <is>
          <t>ESW08</t>
        </is>
      </c>
      <c r="D682" t="n">
        <v>0.25</v>
      </c>
      <c r="E682" t="inlineStr">
        <is>
          <t>Dig Infrastructure Lead</t>
        </is>
      </c>
      <c r="F682">
        <f>SUMIF($A$2:$A$1594,A682,$D$2:$D$1594)</f>
        <v/>
      </c>
    </row>
    <row r="683">
      <c r="A683" t="inlineStr">
        <is>
          <t>Showalter, Caitlin</t>
        </is>
      </c>
      <c r="B683" t="inlineStr">
        <is>
          <t>Eswatini</t>
        </is>
      </c>
      <c r="C683" t="inlineStr">
        <is>
          <t>ESW01</t>
        </is>
      </c>
      <c r="D683" t="n">
        <v>0.625</v>
      </c>
      <c r="E683" t="inlineStr">
        <is>
          <t>M&amp;E and Learning</t>
        </is>
      </c>
      <c r="F683">
        <f>SUMIF($A$2:$A$1594,A683,$D$2:$D$1594)</f>
        <v/>
      </c>
    </row>
    <row r="684">
      <c r="A684" t="inlineStr">
        <is>
          <t>Showalter, Caitlin</t>
        </is>
      </c>
      <c r="B684" t="inlineStr">
        <is>
          <t>Eswatini</t>
        </is>
      </c>
      <c r="C684" t="inlineStr">
        <is>
          <t>ESW02</t>
        </is>
      </c>
      <c r="D684" t="n">
        <v>0.625</v>
      </c>
      <c r="E684" t="inlineStr">
        <is>
          <t>M&amp;E and Learning</t>
        </is>
      </c>
      <c r="F684">
        <f>SUMIF($A$2:$A$1594,A684,$D$2:$D$1594)</f>
        <v/>
      </c>
    </row>
    <row r="685">
      <c r="A685" t="inlineStr">
        <is>
          <t>Showalter, Caitlin</t>
        </is>
      </c>
      <c r="B685" t="inlineStr">
        <is>
          <t>Eswatini</t>
        </is>
      </c>
      <c r="C685" t="inlineStr">
        <is>
          <t>ESW03</t>
        </is>
      </c>
      <c r="D685" t="n">
        <v>1.25</v>
      </c>
      <c r="E685" t="inlineStr">
        <is>
          <t>M&amp;E and Learning</t>
        </is>
      </c>
      <c r="F685">
        <f>SUMIF($A$2:$A$1594,A685,$D$2:$D$1594)</f>
        <v/>
      </c>
    </row>
    <row r="686">
      <c r="A686" t="inlineStr">
        <is>
          <t>Showalter, Caitlin</t>
        </is>
      </c>
      <c r="B686" t="inlineStr">
        <is>
          <t>Eswatini</t>
        </is>
      </c>
      <c r="C686" t="inlineStr">
        <is>
          <t>ESW04</t>
        </is>
      </c>
      <c r="D686" t="n">
        <v>0.625</v>
      </c>
      <c r="E686" t="inlineStr">
        <is>
          <t>M&amp;E and Learning</t>
        </is>
      </c>
      <c r="F686">
        <f>SUMIF($A$2:$A$1594,A686,$D$2:$D$1594)</f>
        <v/>
      </c>
    </row>
    <row r="687">
      <c r="A687" t="inlineStr">
        <is>
          <t>Showalter, Caitlin</t>
        </is>
      </c>
      <c r="B687" t="inlineStr">
        <is>
          <t>Eswatini</t>
        </is>
      </c>
      <c r="C687" t="inlineStr">
        <is>
          <t>ESW07</t>
        </is>
      </c>
      <c r="D687" t="n">
        <v>0.625</v>
      </c>
      <c r="E687" t="inlineStr">
        <is>
          <t>M&amp;E and Learning</t>
        </is>
      </c>
      <c r="F687">
        <f>SUMIF($A$2:$A$1594,A687,$D$2:$D$1594)</f>
        <v/>
      </c>
    </row>
    <row r="688">
      <c r="A688" t="inlineStr">
        <is>
          <t>Showalter, Caitlin</t>
        </is>
      </c>
      <c r="B688" t="inlineStr">
        <is>
          <t>Eswatini</t>
        </is>
      </c>
      <c r="C688" t="inlineStr">
        <is>
          <t>ESW08</t>
        </is>
      </c>
      <c r="D688" t="n">
        <v>0.625</v>
      </c>
      <c r="E688" t="inlineStr">
        <is>
          <t>M&amp;E and Learning</t>
        </is>
      </c>
      <c r="F688">
        <f>SUMIF($A$2:$A$1594,A688,$D$2:$D$1594)</f>
        <v/>
      </c>
    </row>
    <row r="689">
      <c r="A689" t="inlineStr">
        <is>
          <t>Miranda Rondon de Ro, Ing</t>
        </is>
      </c>
      <c r="B689" t="inlineStr">
        <is>
          <t>Eswatini</t>
        </is>
      </c>
      <c r="C689" t="inlineStr">
        <is>
          <t>ESW01</t>
        </is>
      </c>
      <c r="D689" t="n">
        <v>0.625</v>
      </c>
      <c r="E689" t="inlineStr">
        <is>
          <t>M&amp;E and Learning</t>
        </is>
      </c>
      <c r="F689">
        <f>SUMIF($A$2:$A$1594,A689,$D$2:$D$1594)</f>
        <v/>
      </c>
    </row>
    <row r="690">
      <c r="A690" t="inlineStr">
        <is>
          <t>Miranda Rondon de Ro, Ing</t>
        </is>
      </c>
      <c r="B690" t="inlineStr">
        <is>
          <t>Eswatini</t>
        </is>
      </c>
      <c r="C690" t="inlineStr">
        <is>
          <t>ESW02</t>
        </is>
      </c>
      <c r="D690" t="n">
        <v>0.625</v>
      </c>
      <c r="E690" t="inlineStr">
        <is>
          <t>M&amp;E and Learning</t>
        </is>
      </c>
      <c r="F690">
        <f>SUMIF($A$2:$A$1594,A690,$D$2:$D$1594)</f>
        <v/>
      </c>
    </row>
    <row r="691">
      <c r="A691" t="inlineStr">
        <is>
          <t>Miranda Rondon de Ro, Ing</t>
        </is>
      </c>
      <c r="B691" t="inlineStr">
        <is>
          <t>Eswatini</t>
        </is>
      </c>
      <c r="C691" t="inlineStr">
        <is>
          <t>ESW03</t>
        </is>
      </c>
      <c r="D691" t="n">
        <v>1.25</v>
      </c>
      <c r="E691" t="inlineStr">
        <is>
          <t>M&amp;E and Learning</t>
        </is>
      </c>
      <c r="F691">
        <f>SUMIF($A$2:$A$1594,A691,$D$2:$D$1594)</f>
        <v/>
      </c>
    </row>
    <row r="692">
      <c r="A692" t="inlineStr">
        <is>
          <t>Miranda Rondon de Ro, Ing</t>
        </is>
      </c>
      <c r="B692" t="inlineStr">
        <is>
          <t>Eswatini</t>
        </is>
      </c>
      <c r="C692" t="inlineStr">
        <is>
          <t>ESW04</t>
        </is>
      </c>
      <c r="D692" t="n">
        <v>0.625</v>
      </c>
      <c r="E692" t="inlineStr">
        <is>
          <t>M&amp;E and Learning</t>
        </is>
      </c>
      <c r="F692">
        <f>SUMIF($A$2:$A$1594,A692,$D$2:$D$1594)</f>
        <v/>
      </c>
    </row>
    <row r="693">
      <c r="A693" t="inlineStr">
        <is>
          <t>Miranda Rondon de Ro, Ing</t>
        </is>
      </c>
      <c r="B693" t="inlineStr">
        <is>
          <t>Eswatini</t>
        </is>
      </c>
      <c r="C693" t="inlineStr">
        <is>
          <t>ESW07</t>
        </is>
      </c>
      <c r="D693" t="n">
        <v>0.625</v>
      </c>
      <c r="E693" t="inlineStr">
        <is>
          <t>M&amp;E and Learning</t>
        </is>
      </c>
      <c r="F693">
        <f>SUMIF($A$2:$A$1594,A693,$D$2:$D$1594)</f>
        <v/>
      </c>
    </row>
    <row r="694">
      <c r="A694" t="inlineStr">
        <is>
          <t>Miranda Rondon de Ro, Ing</t>
        </is>
      </c>
      <c r="B694" t="inlineStr">
        <is>
          <t>Eswatini</t>
        </is>
      </c>
      <c r="C694" t="inlineStr">
        <is>
          <t>ESW08</t>
        </is>
      </c>
      <c r="D694" t="n">
        <v>0.625</v>
      </c>
      <c r="E694" t="inlineStr">
        <is>
          <t>M&amp;E and Learning</t>
        </is>
      </c>
      <c r="F694">
        <f>SUMIF($A$2:$A$1594,A694,$D$2:$D$1594)</f>
        <v/>
      </c>
    </row>
    <row r="695">
      <c r="A695" t="inlineStr">
        <is>
          <t>Sakaguchi, Kevin</t>
        </is>
      </c>
      <c r="B695" t="inlineStr">
        <is>
          <t>Eswatini</t>
        </is>
      </c>
      <c r="C695" t="inlineStr">
        <is>
          <t>ESW01</t>
        </is>
      </c>
      <c r="D695" t="n">
        <v>0.625</v>
      </c>
      <c r="E695" t="inlineStr">
        <is>
          <t>M&amp;E and Learning</t>
        </is>
      </c>
      <c r="F695">
        <f>SUMIF($A$2:$A$1594,A695,$D$2:$D$1594)</f>
        <v/>
      </c>
    </row>
    <row r="696">
      <c r="A696" t="inlineStr">
        <is>
          <t>Sakaguchi, Kevin</t>
        </is>
      </c>
      <c r="B696" t="inlineStr">
        <is>
          <t>Eswatini</t>
        </is>
      </c>
      <c r="C696" t="inlineStr">
        <is>
          <t>ESW02</t>
        </is>
      </c>
      <c r="D696" t="n">
        <v>0.625</v>
      </c>
      <c r="E696" t="inlineStr">
        <is>
          <t>M&amp;E and Learning</t>
        </is>
      </c>
      <c r="F696">
        <f>SUMIF($A$2:$A$1594,A696,$D$2:$D$1594)</f>
        <v/>
      </c>
    </row>
    <row r="697">
      <c r="A697" t="inlineStr">
        <is>
          <t>Sakaguchi, Kevin</t>
        </is>
      </c>
      <c r="B697" t="inlineStr">
        <is>
          <t>Eswatini</t>
        </is>
      </c>
      <c r="C697" t="inlineStr">
        <is>
          <t>ESW03</t>
        </is>
      </c>
      <c r="D697" t="n">
        <v>1.25</v>
      </c>
      <c r="E697" t="inlineStr">
        <is>
          <t>M&amp;E and Learning</t>
        </is>
      </c>
      <c r="F697">
        <f>SUMIF($A$2:$A$1594,A697,$D$2:$D$1594)</f>
        <v/>
      </c>
    </row>
    <row r="698">
      <c r="A698" t="inlineStr">
        <is>
          <t>Sakaguchi, Kevin</t>
        </is>
      </c>
      <c r="B698" t="inlineStr">
        <is>
          <t>Eswatini</t>
        </is>
      </c>
      <c r="C698" t="inlineStr">
        <is>
          <t>ESW04</t>
        </is>
      </c>
      <c r="D698" t="n">
        <v>0.625</v>
      </c>
      <c r="E698" t="inlineStr">
        <is>
          <t>M&amp;E and Learning</t>
        </is>
      </c>
      <c r="F698">
        <f>SUMIF($A$2:$A$1594,A698,$D$2:$D$1594)</f>
        <v/>
      </c>
    </row>
    <row r="699">
      <c r="A699" t="inlineStr">
        <is>
          <t>Sakaguchi, Kevin</t>
        </is>
      </c>
      <c r="B699" t="inlineStr">
        <is>
          <t>Eswatini</t>
        </is>
      </c>
      <c r="C699" t="inlineStr">
        <is>
          <t>ESW07</t>
        </is>
      </c>
      <c r="D699" t="n">
        <v>0.625</v>
      </c>
      <c r="E699" t="inlineStr">
        <is>
          <t>M&amp;E and Learning</t>
        </is>
      </c>
      <c r="F699">
        <f>SUMIF($A$2:$A$1594,A699,$D$2:$D$1594)</f>
        <v/>
      </c>
    </row>
    <row r="700">
      <c r="A700" t="inlineStr">
        <is>
          <t>Sakaguchi, Kevin</t>
        </is>
      </c>
      <c r="B700" t="inlineStr">
        <is>
          <t>Eswatini</t>
        </is>
      </c>
      <c r="C700" t="inlineStr">
        <is>
          <t>ESW08</t>
        </is>
      </c>
      <c r="D700" t="n">
        <v>0.625</v>
      </c>
      <c r="E700" t="inlineStr">
        <is>
          <t>M&amp;E and Learning</t>
        </is>
      </c>
      <c r="F700">
        <f>SUMIF($A$2:$A$1594,A700,$D$2:$D$1594)</f>
        <v/>
      </c>
    </row>
    <row r="701">
      <c r="A701" t="inlineStr">
        <is>
          <t>Claussen, Laurence</t>
        </is>
      </c>
      <c r="B701" t="inlineStr">
        <is>
          <t>Eswatini</t>
        </is>
      </c>
      <c r="C701" t="inlineStr">
        <is>
          <t>ESW01</t>
        </is>
      </c>
      <c r="D701" t="n">
        <v>0.625</v>
      </c>
      <c r="E701" t="inlineStr">
        <is>
          <t>Comms Manager</t>
        </is>
      </c>
      <c r="F701">
        <f>SUMIF($A$2:$A$1594,A701,$D$2:$D$1594)</f>
        <v/>
      </c>
    </row>
    <row r="702">
      <c r="A702" t="inlineStr">
        <is>
          <t>Claussen, Laurence</t>
        </is>
      </c>
      <c r="B702" t="inlineStr">
        <is>
          <t>Eswatini</t>
        </is>
      </c>
      <c r="C702" t="inlineStr">
        <is>
          <t>ESW02</t>
        </is>
      </c>
      <c r="D702" t="n">
        <v>0.625</v>
      </c>
      <c r="E702" t="inlineStr">
        <is>
          <t>Comms Manager</t>
        </is>
      </c>
      <c r="F702">
        <f>SUMIF($A$2:$A$1594,A702,$D$2:$D$1594)</f>
        <v/>
      </c>
    </row>
    <row r="703">
      <c r="A703" t="inlineStr">
        <is>
          <t>Claussen, Laurence</t>
        </is>
      </c>
      <c r="B703" t="inlineStr">
        <is>
          <t>Eswatini</t>
        </is>
      </c>
      <c r="C703" t="inlineStr">
        <is>
          <t>ESW03</t>
        </is>
      </c>
      <c r="D703" t="n">
        <v>1.25</v>
      </c>
      <c r="E703" t="inlineStr">
        <is>
          <t>Comms Manager</t>
        </is>
      </c>
      <c r="F703">
        <f>SUMIF($A$2:$A$1594,A703,$D$2:$D$1594)</f>
        <v/>
      </c>
    </row>
    <row r="704">
      <c r="A704" t="inlineStr">
        <is>
          <t>Claussen, Laurence</t>
        </is>
      </c>
      <c r="B704" t="inlineStr">
        <is>
          <t>Eswatini</t>
        </is>
      </c>
      <c r="C704" t="inlineStr">
        <is>
          <t>ESW04</t>
        </is>
      </c>
      <c r="D704" t="n">
        <v>0.625</v>
      </c>
      <c r="E704" t="inlineStr">
        <is>
          <t>Comms Manager</t>
        </is>
      </c>
      <c r="F704">
        <f>SUMIF($A$2:$A$1594,A704,$D$2:$D$1594)</f>
        <v/>
      </c>
    </row>
    <row r="705">
      <c r="A705" t="inlineStr">
        <is>
          <t>Claussen, Laurence</t>
        </is>
      </c>
      <c r="B705" t="inlineStr">
        <is>
          <t>Eswatini</t>
        </is>
      </c>
      <c r="C705" t="inlineStr">
        <is>
          <t>ESW07</t>
        </is>
      </c>
      <c r="D705" t="n">
        <v>0.625</v>
      </c>
      <c r="E705" t="inlineStr">
        <is>
          <t>Comms Manager</t>
        </is>
      </c>
      <c r="F705">
        <f>SUMIF($A$2:$A$1594,A705,$D$2:$D$1594)</f>
        <v/>
      </c>
    </row>
    <row r="706">
      <c r="A706" t="inlineStr">
        <is>
          <t>Claussen, Laurence</t>
        </is>
      </c>
      <c r="B706" t="inlineStr">
        <is>
          <t>Eswatini</t>
        </is>
      </c>
      <c r="C706" t="inlineStr">
        <is>
          <t>ESW08</t>
        </is>
      </c>
      <c r="D706" t="n">
        <v>0.625</v>
      </c>
      <c r="E706" t="inlineStr">
        <is>
          <t>Comms Manager</t>
        </is>
      </c>
      <c r="F706">
        <f>SUMIF($A$2:$A$1594,A706,$D$2:$D$1594)</f>
        <v/>
      </c>
    </row>
    <row r="707">
      <c r="A707" t="inlineStr">
        <is>
          <t>Hunihan, Anne</t>
        </is>
      </c>
      <c r="B707" t="inlineStr">
        <is>
          <t>Eswatini</t>
        </is>
      </c>
      <c r="C707" t="inlineStr">
        <is>
          <t>ESW01</t>
        </is>
      </c>
      <c r="D707" t="n">
        <v>5.75</v>
      </c>
      <c r="E707" t="inlineStr">
        <is>
          <t>Associate Pool</t>
        </is>
      </c>
      <c r="F707">
        <f>SUMIF($A$2:$A$1594,A707,$D$2:$D$1594)</f>
        <v/>
      </c>
    </row>
    <row r="708">
      <c r="A708" t="inlineStr">
        <is>
          <t>Hunihan, Anne</t>
        </is>
      </c>
      <c r="B708" t="inlineStr">
        <is>
          <t>Eswatini</t>
        </is>
      </c>
      <c r="C708" t="inlineStr">
        <is>
          <t>ESW02</t>
        </is>
      </c>
      <c r="D708" t="n">
        <v>5.75</v>
      </c>
      <c r="E708" t="inlineStr">
        <is>
          <t>Associate Pool</t>
        </is>
      </c>
      <c r="F708">
        <f>SUMIF($A$2:$A$1594,A708,$D$2:$D$1594)</f>
        <v/>
      </c>
    </row>
    <row r="709">
      <c r="A709" t="inlineStr">
        <is>
          <t>Hunihan, Anne</t>
        </is>
      </c>
      <c r="B709" t="inlineStr">
        <is>
          <t>Eswatini</t>
        </is>
      </c>
      <c r="C709" t="inlineStr">
        <is>
          <t>ESW03</t>
        </is>
      </c>
      <c r="D709" t="n">
        <v>11.5</v>
      </c>
      <c r="E709" t="inlineStr">
        <is>
          <t>Associate Pool</t>
        </is>
      </c>
      <c r="F709">
        <f>SUMIF($A$2:$A$1594,A709,$D$2:$D$1594)</f>
        <v/>
      </c>
    </row>
    <row r="710">
      <c r="A710" t="inlineStr">
        <is>
          <t>Hunihan, Anne</t>
        </is>
      </c>
      <c r="B710" t="inlineStr">
        <is>
          <t>Eswatini</t>
        </is>
      </c>
      <c r="C710" t="inlineStr">
        <is>
          <t>ESW04</t>
        </is>
      </c>
      <c r="D710" t="n">
        <v>5.75</v>
      </c>
      <c r="E710" t="inlineStr">
        <is>
          <t>Associate Pool</t>
        </is>
      </c>
      <c r="F710">
        <f>SUMIF($A$2:$A$1594,A710,$D$2:$D$1594)</f>
        <v/>
      </c>
    </row>
    <row r="711">
      <c r="A711" t="inlineStr">
        <is>
          <t>Hunihan, Anne</t>
        </is>
      </c>
      <c r="B711" t="inlineStr">
        <is>
          <t>Eswatini</t>
        </is>
      </c>
      <c r="C711" t="inlineStr">
        <is>
          <t>ESW07</t>
        </is>
      </c>
      <c r="D711" t="n">
        <v>5.75</v>
      </c>
      <c r="E711" t="inlineStr">
        <is>
          <t>Associate Pool</t>
        </is>
      </c>
      <c r="F711">
        <f>SUMIF($A$2:$A$1594,A711,$D$2:$D$1594)</f>
        <v/>
      </c>
    </row>
    <row r="712">
      <c r="A712" t="inlineStr">
        <is>
          <t>Hunihan, Anne</t>
        </is>
      </c>
      <c r="B712" t="inlineStr">
        <is>
          <t>Eswatini</t>
        </is>
      </c>
      <c r="C712" t="inlineStr">
        <is>
          <t>ESW08</t>
        </is>
      </c>
      <c r="D712" t="n">
        <v>5.75</v>
      </c>
      <c r="E712" t="inlineStr">
        <is>
          <t>Associate Pool</t>
        </is>
      </c>
      <c r="F712">
        <f>SUMIF($A$2:$A$1594,A712,$D$2:$D$1594)</f>
        <v/>
      </c>
    </row>
    <row r="713">
      <c r="A713" t="inlineStr">
        <is>
          <t>Mathias, John</t>
        </is>
      </c>
      <c r="B713" t="inlineStr">
        <is>
          <t>Eswatini</t>
        </is>
      </c>
      <c r="C713" t="inlineStr">
        <is>
          <t>ESW01</t>
        </is>
      </c>
      <c r="D713" t="n">
        <v>0.625</v>
      </c>
      <c r="E713" t="inlineStr">
        <is>
          <t>Operations Director</t>
        </is>
      </c>
      <c r="F713">
        <f>SUMIF($A$2:$A$1594,A713,$D$2:$D$1594)</f>
        <v/>
      </c>
    </row>
    <row r="714">
      <c r="A714" t="inlineStr">
        <is>
          <t>Mathias, John</t>
        </is>
      </c>
      <c r="B714" t="inlineStr">
        <is>
          <t>Eswatini</t>
        </is>
      </c>
      <c r="C714" t="inlineStr">
        <is>
          <t>ESW02</t>
        </is>
      </c>
      <c r="D714" t="n">
        <v>0.625</v>
      </c>
      <c r="E714" t="inlineStr">
        <is>
          <t>Operations Director</t>
        </is>
      </c>
      <c r="F714">
        <f>SUMIF($A$2:$A$1594,A714,$D$2:$D$1594)</f>
        <v/>
      </c>
    </row>
    <row r="715">
      <c r="A715" t="inlineStr">
        <is>
          <t>Mathias, John</t>
        </is>
      </c>
      <c r="B715" t="inlineStr">
        <is>
          <t>Eswatini</t>
        </is>
      </c>
      <c r="C715" t="inlineStr">
        <is>
          <t>ESW03</t>
        </is>
      </c>
      <c r="D715" t="n">
        <v>1.25</v>
      </c>
      <c r="E715" t="inlineStr">
        <is>
          <t>Operations Director</t>
        </is>
      </c>
      <c r="F715">
        <f>SUMIF($A$2:$A$1594,A715,$D$2:$D$1594)</f>
        <v/>
      </c>
    </row>
    <row r="716">
      <c r="A716" t="inlineStr">
        <is>
          <t>Mathias, John</t>
        </is>
      </c>
      <c r="B716" t="inlineStr">
        <is>
          <t>Eswatini</t>
        </is>
      </c>
      <c r="C716" t="inlineStr">
        <is>
          <t>ESW04</t>
        </is>
      </c>
      <c r="D716" t="n">
        <v>0.625</v>
      </c>
      <c r="E716" t="inlineStr">
        <is>
          <t>Operations Director</t>
        </is>
      </c>
      <c r="F716">
        <f>SUMIF($A$2:$A$1594,A716,$D$2:$D$1594)</f>
        <v/>
      </c>
    </row>
    <row r="717">
      <c r="A717" t="inlineStr">
        <is>
          <t>Mathias, John</t>
        </is>
      </c>
      <c r="B717" t="inlineStr">
        <is>
          <t>Eswatini</t>
        </is>
      </c>
      <c r="C717" t="inlineStr">
        <is>
          <t>ESW07</t>
        </is>
      </c>
      <c r="D717" t="n">
        <v>0.625</v>
      </c>
      <c r="E717" t="inlineStr">
        <is>
          <t>Operations Director</t>
        </is>
      </c>
      <c r="F717">
        <f>SUMIF($A$2:$A$1594,A717,$D$2:$D$1594)</f>
        <v/>
      </c>
    </row>
    <row r="718">
      <c r="A718" t="inlineStr">
        <is>
          <t>Mathias, John</t>
        </is>
      </c>
      <c r="B718" t="inlineStr">
        <is>
          <t>Eswatini</t>
        </is>
      </c>
      <c r="C718" t="inlineStr">
        <is>
          <t>ESW08</t>
        </is>
      </c>
      <c r="D718" t="n">
        <v>0.625</v>
      </c>
      <c r="E718" t="inlineStr">
        <is>
          <t>Operations Director</t>
        </is>
      </c>
      <c r="F718">
        <f>SUMIF($A$2:$A$1594,A718,$D$2:$D$1594)</f>
        <v/>
      </c>
    </row>
    <row r="719">
      <c r="A719" t="inlineStr">
        <is>
          <t>Misomali, Mark</t>
        </is>
      </c>
      <c r="B719" t="inlineStr">
        <is>
          <t>Eswatini</t>
        </is>
      </c>
      <c r="C719" t="inlineStr">
        <is>
          <t>ESW01</t>
        </is>
      </c>
      <c r="D719" t="n">
        <v>0.625</v>
      </c>
      <c r="E719" t="inlineStr">
        <is>
          <t xml:space="preserve">Operations Sr Finance Manager   </t>
        </is>
      </c>
      <c r="F719">
        <f>SUMIF($A$2:$A$1594,A719,$D$2:$D$1594)</f>
        <v/>
      </c>
    </row>
    <row r="720">
      <c r="A720" t="inlineStr">
        <is>
          <t>Misomali, Mark</t>
        </is>
      </c>
      <c r="B720" t="inlineStr">
        <is>
          <t>Eswatini</t>
        </is>
      </c>
      <c r="C720" t="inlineStr">
        <is>
          <t>ESW02</t>
        </is>
      </c>
      <c r="D720" t="n">
        <v>0.625</v>
      </c>
      <c r="E720" t="inlineStr">
        <is>
          <t xml:space="preserve">Operations Sr Finance Manager   </t>
        </is>
      </c>
      <c r="F720">
        <f>SUMIF($A$2:$A$1594,A720,$D$2:$D$1594)</f>
        <v/>
      </c>
    </row>
    <row r="721">
      <c r="A721" t="inlineStr">
        <is>
          <t>Misomali, Mark</t>
        </is>
      </c>
      <c r="B721" t="inlineStr">
        <is>
          <t>Eswatini</t>
        </is>
      </c>
      <c r="C721" t="inlineStr">
        <is>
          <t>ESW03</t>
        </is>
      </c>
      <c r="D721" t="n">
        <v>1.25</v>
      </c>
      <c r="E721" t="inlineStr">
        <is>
          <t xml:space="preserve">Operations Sr Finance Manager   </t>
        </is>
      </c>
      <c r="F721">
        <f>SUMIF($A$2:$A$1594,A721,$D$2:$D$1594)</f>
        <v/>
      </c>
    </row>
    <row r="722">
      <c r="A722" t="inlineStr">
        <is>
          <t>Misomali, Mark</t>
        </is>
      </c>
      <c r="B722" t="inlineStr">
        <is>
          <t>Eswatini</t>
        </is>
      </c>
      <c r="C722" t="inlineStr">
        <is>
          <t>ESW04</t>
        </is>
      </c>
      <c r="D722" t="n">
        <v>0.625</v>
      </c>
      <c r="E722" t="inlineStr">
        <is>
          <t xml:space="preserve">Operations Sr Finance Manager   </t>
        </is>
      </c>
      <c r="F722">
        <f>SUMIF($A$2:$A$1594,A722,$D$2:$D$1594)</f>
        <v/>
      </c>
    </row>
    <row r="723">
      <c r="A723" t="inlineStr">
        <is>
          <t>Misomali, Mark</t>
        </is>
      </c>
      <c r="B723" t="inlineStr">
        <is>
          <t>Eswatini</t>
        </is>
      </c>
      <c r="C723" t="inlineStr">
        <is>
          <t>ESW07</t>
        </is>
      </c>
      <c r="D723" t="n">
        <v>0.625</v>
      </c>
      <c r="E723" t="inlineStr">
        <is>
          <t xml:space="preserve">Operations Sr Finance Manager   </t>
        </is>
      </c>
      <c r="F723">
        <f>SUMIF($A$2:$A$1594,A723,$D$2:$D$1594)</f>
        <v/>
      </c>
    </row>
    <row r="724">
      <c r="A724" t="inlineStr">
        <is>
          <t>Misomali, Mark</t>
        </is>
      </c>
      <c r="B724" t="inlineStr">
        <is>
          <t>Eswatini</t>
        </is>
      </c>
      <c r="C724" t="inlineStr">
        <is>
          <t>ESW08</t>
        </is>
      </c>
      <c r="D724" t="n">
        <v>0.625</v>
      </c>
      <c r="E724" t="inlineStr">
        <is>
          <t xml:space="preserve">Operations Sr Finance Manager   </t>
        </is>
      </c>
      <c r="F724">
        <f>SUMIF($A$2:$A$1594,A724,$D$2:$D$1594)</f>
        <v/>
      </c>
    </row>
    <row r="725">
      <c r="A725" t="inlineStr">
        <is>
          <t>Noorzai, Mahmood</t>
        </is>
      </c>
      <c r="B725" t="inlineStr">
        <is>
          <t>Eswatini</t>
        </is>
      </c>
      <c r="C725" t="inlineStr">
        <is>
          <t>ESW01</t>
        </is>
      </c>
      <c r="D725" t="n">
        <v>0.625</v>
      </c>
      <c r="E725" t="inlineStr">
        <is>
          <t>Operations Finance Associate</t>
        </is>
      </c>
      <c r="F725">
        <f>SUMIF($A$2:$A$1594,A725,$D$2:$D$1594)</f>
        <v/>
      </c>
    </row>
    <row r="726">
      <c r="A726" t="inlineStr">
        <is>
          <t>Noorzai, Mahmood</t>
        </is>
      </c>
      <c r="B726" t="inlineStr">
        <is>
          <t>Eswatini</t>
        </is>
      </c>
      <c r="C726" t="inlineStr">
        <is>
          <t>ESW02</t>
        </is>
      </c>
      <c r="D726" t="n">
        <v>0.625</v>
      </c>
      <c r="E726" t="inlineStr">
        <is>
          <t>Operations Finance Associate</t>
        </is>
      </c>
      <c r="F726">
        <f>SUMIF($A$2:$A$1594,A726,$D$2:$D$1594)</f>
        <v/>
      </c>
    </row>
    <row r="727">
      <c r="A727" t="inlineStr">
        <is>
          <t>Noorzai, Mahmood</t>
        </is>
      </c>
      <c r="B727" t="inlineStr">
        <is>
          <t>Eswatini</t>
        </is>
      </c>
      <c r="C727" t="inlineStr">
        <is>
          <t>ESW03</t>
        </is>
      </c>
      <c r="D727" t="n">
        <v>1.25</v>
      </c>
      <c r="E727" t="inlineStr">
        <is>
          <t>Operations Finance Associate</t>
        </is>
      </c>
      <c r="F727">
        <f>SUMIF($A$2:$A$1594,A727,$D$2:$D$1594)</f>
        <v/>
      </c>
    </row>
    <row r="728">
      <c r="A728" t="inlineStr">
        <is>
          <t>Noorzai, Mahmood</t>
        </is>
      </c>
      <c r="B728" t="inlineStr">
        <is>
          <t>Eswatini</t>
        </is>
      </c>
      <c r="C728" t="inlineStr">
        <is>
          <t>ESW04</t>
        </is>
      </c>
      <c r="D728" t="n">
        <v>0.625</v>
      </c>
      <c r="E728" t="inlineStr">
        <is>
          <t>Operations Finance Associate</t>
        </is>
      </c>
      <c r="F728">
        <f>SUMIF($A$2:$A$1594,A728,$D$2:$D$1594)</f>
        <v/>
      </c>
    </row>
    <row r="729">
      <c r="A729" t="inlineStr">
        <is>
          <t>Noorzai, Mahmood</t>
        </is>
      </c>
      <c r="B729" t="inlineStr">
        <is>
          <t>Eswatini</t>
        </is>
      </c>
      <c r="C729" t="inlineStr">
        <is>
          <t>ESW07</t>
        </is>
      </c>
      <c r="D729" t="n">
        <v>0.625</v>
      </c>
      <c r="E729" t="inlineStr">
        <is>
          <t>Operations Finance Associate</t>
        </is>
      </c>
      <c r="F729">
        <f>SUMIF($A$2:$A$1594,A729,$D$2:$D$1594)</f>
        <v/>
      </c>
    </row>
    <row r="730">
      <c r="A730" t="inlineStr">
        <is>
          <t>Noorzai, Mahmood</t>
        </is>
      </c>
      <c r="B730" t="inlineStr">
        <is>
          <t>Eswatini</t>
        </is>
      </c>
      <c r="C730" t="inlineStr">
        <is>
          <t>ESW08</t>
        </is>
      </c>
      <c r="D730" t="n">
        <v>0.625</v>
      </c>
      <c r="E730" t="inlineStr">
        <is>
          <t>Operations Finance Associate</t>
        </is>
      </c>
      <c r="F730">
        <f>SUMIF($A$2:$A$1594,A730,$D$2:$D$1594)</f>
        <v/>
      </c>
    </row>
    <row r="731">
      <c r="A731" t="inlineStr">
        <is>
          <t>Mawandia, Shreshth</t>
        </is>
      </c>
      <c r="B731" t="inlineStr">
        <is>
          <t>Ethiopia</t>
        </is>
      </c>
      <c r="C731" t="inlineStr">
        <is>
          <t>ETH01</t>
        </is>
      </c>
      <c r="D731" t="n">
        <v>4</v>
      </c>
      <c r="E731" t="inlineStr">
        <is>
          <t>KP - Project Director</t>
        </is>
      </c>
      <c r="F731">
        <f>SUMIF($A$2:$A$1594,A731,$D$2:$D$1594)</f>
        <v/>
      </c>
    </row>
    <row r="732">
      <c r="A732" t="inlineStr">
        <is>
          <t>Mawandia, Shreshth</t>
        </is>
      </c>
      <c r="B732" t="inlineStr">
        <is>
          <t>Ethiopia</t>
        </is>
      </c>
      <c r="C732" t="inlineStr">
        <is>
          <t>ETH02</t>
        </is>
      </c>
      <c r="D732" t="n">
        <v>4</v>
      </c>
      <c r="E732" t="inlineStr">
        <is>
          <t>KP - Project Director</t>
        </is>
      </c>
      <c r="F732">
        <f>SUMIF($A$2:$A$1594,A732,$D$2:$D$1594)</f>
        <v/>
      </c>
    </row>
    <row r="733">
      <c r="A733" t="inlineStr">
        <is>
          <t>Mawandia, Shreshth</t>
        </is>
      </c>
      <c r="B733" t="inlineStr">
        <is>
          <t>Ethiopia</t>
        </is>
      </c>
      <c r="C733" t="inlineStr">
        <is>
          <t>ETH03</t>
        </is>
      </c>
      <c r="D733" t="n">
        <v>4</v>
      </c>
      <c r="E733" t="inlineStr">
        <is>
          <t>KP - Project Director</t>
        </is>
      </c>
      <c r="F733">
        <f>SUMIF($A$2:$A$1594,A733,$D$2:$D$1594)</f>
        <v/>
      </c>
    </row>
    <row r="734">
      <c r="A734" t="inlineStr">
        <is>
          <t>Mawandia, Shreshth</t>
        </is>
      </c>
      <c r="B734" t="inlineStr">
        <is>
          <t>Ethiopia</t>
        </is>
      </c>
      <c r="C734" t="inlineStr">
        <is>
          <t>ETH04</t>
        </is>
      </c>
      <c r="D734" t="n">
        <v>4</v>
      </c>
      <c r="E734" t="inlineStr">
        <is>
          <t>KP - Project Director</t>
        </is>
      </c>
      <c r="F734">
        <f>SUMIF($A$2:$A$1594,A734,$D$2:$D$1594)</f>
        <v/>
      </c>
    </row>
    <row r="735">
      <c r="A735" t="inlineStr">
        <is>
          <t>Mawandia, Shreshth</t>
        </is>
      </c>
      <c r="B735" t="inlineStr">
        <is>
          <t>Ethiopia</t>
        </is>
      </c>
      <c r="C735" t="inlineStr">
        <is>
          <t>ETH05</t>
        </is>
      </c>
      <c r="D735" t="n">
        <v>4</v>
      </c>
      <c r="E735" t="inlineStr">
        <is>
          <t>KP - Project Director</t>
        </is>
      </c>
      <c r="F735">
        <f>SUMIF($A$2:$A$1594,A735,$D$2:$D$1594)</f>
        <v/>
      </c>
    </row>
    <row r="736">
      <c r="A736" t="inlineStr">
        <is>
          <t>Mawandia, Shreshth</t>
        </is>
      </c>
      <c r="B736" t="inlineStr">
        <is>
          <t>Ethiopia</t>
        </is>
      </c>
      <c r="C736" t="inlineStr">
        <is>
          <t>ETH06</t>
        </is>
      </c>
      <c r="D736" t="n">
        <v>4</v>
      </c>
      <c r="E736" t="inlineStr">
        <is>
          <t>KP - Project Director</t>
        </is>
      </c>
      <c r="F736">
        <f>SUMIF($A$2:$A$1594,A736,$D$2:$D$1594)</f>
        <v/>
      </c>
    </row>
    <row r="737">
      <c r="A737" t="inlineStr">
        <is>
          <t>Mawandia, Shreshth</t>
        </is>
      </c>
      <c r="B737" t="inlineStr">
        <is>
          <t>Ethiopia</t>
        </is>
      </c>
      <c r="C737" t="inlineStr">
        <is>
          <t>ETH07</t>
        </is>
      </c>
      <c r="D737" t="n">
        <v>4</v>
      </c>
      <c r="E737" t="inlineStr">
        <is>
          <t>KP - Project Director</t>
        </is>
      </c>
      <c r="F737">
        <f>SUMIF($A$2:$A$1594,A737,$D$2:$D$1594)</f>
        <v/>
      </c>
    </row>
    <row r="738">
      <c r="A738" t="inlineStr">
        <is>
          <t>Mawandia, Shreshth</t>
        </is>
      </c>
      <c r="B738" t="inlineStr">
        <is>
          <t>Ethiopia</t>
        </is>
      </c>
      <c r="C738" t="inlineStr">
        <is>
          <t>ETH08</t>
        </is>
      </c>
      <c r="D738" t="n">
        <v>4</v>
      </c>
      <c r="E738" t="inlineStr">
        <is>
          <t>KP - Project Director</t>
        </is>
      </c>
      <c r="F738">
        <f>SUMIF($A$2:$A$1594,A738,$D$2:$D$1594)</f>
        <v/>
      </c>
    </row>
    <row r="739">
      <c r="A739" t="inlineStr">
        <is>
          <t>Mawandia, Shreshth</t>
        </is>
      </c>
      <c r="B739" t="inlineStr">
        <is>
          <t>Ethiopia</t>
        </is>
      </c>
      <c r="C739" t="inlineStr">
        <is>
          <t>ETH09</t>
        </is>
      </c>
      <c r="D739" t="n">
        <v>4</v>
      </c>
      <c r="E739" t="inlineStr">
        <is>
          <t>KP - Project Director</t>
        </is>
      </c>
      <c r="F739">
        <f>SUMIF($A$2:$A$1594,A739,$D$2:$D$1594)</f>
        <v/>
      </c>
    </row>
    <row r="740">
      <c r="A740" t="inlineStr">
        <is>
          <t>Mawandia, Shreshth</t>
        </is>
      </c>
      <c r="B740" t="inlineStr">
        <is>
          <t>Ethiopia</t>
        </is>
      </c>
      <c r="C740" t="inlineStr">
        <is>
          <t>ETH10</t>
        </is>
      </c>
      <c r="D740" t="n">
        <v>4</v>
      </c>
      <c r="E740" t="inlineStr">
        <is>
          <t>KP - Project Director</t>
        </is>
      </c>
      <c r="F740">
        <f>SUMIF($A$2:$A$1594,A740,$D$2:$D$1594)</f>
        <v/>
      </c>
    </row>
    <row r="741">
      <c r="A741" t="inlineStr">
        <is>
          <t>Mawandia, Shreshth</t>
        </is>
      </c>
      <c r="B741" t="inlineStr">
        <is>
          <t>Ethiopia</t>
        </is>
      </c>
      <c r="C741" t="inlineStr">
        <is>
          <t>ETH11</t>
        </is>
      </c>
      <c r="D741" t="n">
        <v>5</v>
      </c>
      <c r="E741" t="inlineStr">
        <is>
          <t>KP - Project Director</t>
        </is>
      </c>
      <c r="F741">
        <f>SUMIF($A$2:$A$1594,A741,$D$2:$D$1594)</f>
        <v/>
      </c>
    </row>
    <row r="742">
      <c r="A742" t="inlineStr">
        <is>
          <t>Mawandia, Shreshth</t>
        </is>
      </c>
      <c r="B742" t="inlineStr">
        <is>
          <t>Ethiopia</t>
        </is>
      </c>
      <c r="C742" t="inlineStr">
        <is>
          <t>ETH12</t>
        </is>
      </c>
      <c r="D742" t="n">
        <v>5</v>
      </c>
      <c r="E742" t="inlineStr">
        <is>
          <t>KP - Project Director</t>
        </is>
      </c>
      <c r="F742">
        <f>SUMIF($A$2:$A$1594,A742,$D$2:$D$1594)</f>
        <v/>
      </c>
    </row>
    <row r="743">
      <c r="A743" t="inlineStr">
        <is>
          <t>Mawandia, Shreshth</t>
        </is>
      </c>
      <c r="B743" t="inlineStr">
        <is>
          <t>Ethiopia</t>
        </is>
      </c>
      <c r="C743" t="inlineStr">
        <is>
          <t>ETH13</t>
        </is>
      </c>
      <c r="D743" t="n">
        <v>5</v>
      </c>
      <c r="E743" t="inlineStr">
        <is>
          <t>KP - Project Director</t>
        </is>
      </c>
      <c r="F743">
        <f>SUMIF($A$2:$A$1594,A743,$D$2:$D$1594)</f>
        <v/>
      </c>
    </row>
    <row r="744">
      <c r="A744" t="inlineStr">
        <is>
          <t>Mawandia, Shreshth</t>
        </is>
      </c>
      <c r="B744" t="inlineStr">
        <is>
          <t>Ethiopia</t>
        </is>
      </c>
      <c r="C744" t="inlineStr">
        <is>
          <t>ETH14</t>
        </is>
      </c>
      <c r="D744" t="n">
        <v>5</v>
      </c>
      <c r="E744" t="inlineStr">
        <is>
          <t>KP - Project Director</t>
        </is>
      </c>
      <c r="F744">
        <f>SUMIF($A$2:$A$1594,A744,$D$2:$D$1594)</f>
        <v/>
      </c>
    </row>
    <row r="745">
      <c r="A745" t="inlineStr">
        <is>
          <t>Nigussie, Netsanet</t>
        </is>
      </c>
      <c r="B745" t="inlineStr">
        <is>
          <t>Ethiopia</t>
        </is>
      </c>
      <c r="C745" t="inlineStr">
        <is>
          <t>ETH01</t>
        </is>
      </c>
      <c r="D745" t="n">
        <v>4</v>
      </c>
      <c r="E745" t="inlineStr">
        <is>
          <t>KP - Technical Director</t>
        </is>
      </c>
      <c r="F745">
        <f>SUMIF($A$2:$A$1594,A745,$D$2:$D$1594)</f>
        <v/>
      </c>
    </row>
    <row r="746">
      <c r="A746" t="inlineStr">
        <is>
          <t>Nigussie, Netsanet</t>
        </is>
      </c>
      <c r="B746" t="inlineStr">
        <is>
          <t>Ethiopia</t>
        </is>
      </c>
      <c r="C746" t="inlineStr">
        <is>
          <t>ETH02</t>
        </is>
      </c>
      <c r="D746" t="n">
        <v>4</v>
      </c>
      <c r="E746" t="inlineStr">
        <is>
          <t>KP - Technical Director</t>
        </is>
      </c>
      <c r="F746">
        <f>SUMIF($A$2:$A$1594,A746,$D$2:$D$1594)</f>
        <v/>
      </c>
    </row>
    <row r="747">
      <c r="A747" t="inlineStr">
        <is>
          <t>Nigussie, Netsanet</t>
        </is>
      </c>
      <c r="B747" t="inlineStr">
        <is>
          <t>Ethiopia</t>
        </is>
      </c>
      <c r="C747" t="inlineStr">
        <is>
          <t>ETH03</t>
        </is>
      </c>
      <c r="D747" t="n">
        <v>4</v>
      </c>
      <c r="E747" t="inlineStr">
        <is>
          <t>KP - Technical Director</t>
        </is>
      </c>
      <c r="F747">
        <f>SUMIF($A$2:$A$1594,A747,$D$2:$D$1594)</f>
        <v/>
      </c>
    </row>
    <row r="748">
      <c r="A748" t="inlineStr">
        <is>
          <t>Nigussie, Netsanet</t>
        </is>
      </c>
      <c r="B748" t="inlineStr">
        <is>
          <t>Ethiopia</t>
        </is>
      </c>
      <c r="C748" t="inlineStr">
        <is>
          <t>ETH04</t>
        </is>
      </c>
      <c r="D748" t="n">
        <v>4</v>
      </c>
      <c r="E748" t="inlineStr">
        <is>
          <t>KP - Technical Director</t>
        </is>
      </c>
      <c r="F748">
        <f>SUMIF($A$2:$A$1594,A748,$D$2:$D$1594)</f>
        <v/>
      </c>
    </row>
    <row r="749">
      <c r="A749" t="inlineStr">
        <is>
          <t>Nigussie, Netsanet</t>
        </is>
      </c>
      <c r="B749" t="inlineStr">
        <is>
          <t>Ethiopia</t>
        </is>
      </c>
      <c r="C749" t="inlineStr">
        <is>
          <t>ETH05</t>
        </is>
      </c>
      <c r="D749" t="n">
        <v>4</v>
      </c>
      <c r="E749" t="inlineStr">
        <is>
          <t>KP - Technical Director</t>
        </is>
      </c>
      <c r="F749">
        <f>SUMIF($A$2:$A$1594,A749,$D$2:$D$1594)</f>
        <v/>
      </c>
    </row>
    <row r="750">
      <c r="A750" t="inlineStr">
        <is>
          <t>Nigussie, Netsanet</t>
        </is>
      </c>
      <c r="B750" t="inlineStr">
        <is>
          <t>Ethiopia</t>
        </is>
      </c>
      <c r="C750" t="inlineStr">
        <is>
          <t>ETH06</t>
        </is>
      </c>
      <c r="D750" t="n">
        <v>4</v>
      </c>
      <c r="E750" t="inlineStr">
        <is>
          <t>KP - Technical Director</t>
        </is>
      </c>
      <c r="F750">
        <f>SUMIF($A$2:$A$1594,A750,$D$2:$D$1594)</f>
        <v/>
      </c>
    </row>
    <row r="751">
      <c r="A751" t="inlineStr">
        <is>
          <t>Nigussie, Netsanet</t>
        </is>
      </c>
      <c r="B751" t="inlineStr">
        <is>
          <t>Ethiopia</t>
        </is>
      </c>
      <c r="C751" t="inlineStr">
        <is>
          <t>ETH07</t>
        </is>
      </c>
      <c r="D751" t="n">
        <v>4</v>
      </c>
      <c r="E751" t="inlineStr">
        <is>
          <t>KP - Technical Director</t>
        </is>
      </c>
      <c r="F751">
        <f>SUMIF($A$2:$A$1594,A751,$D$2:$D$1594)</f>
        <v/>
      </c>
    </row>
    <row r="752">
      <c r="A752" t="inlineStr">
        <is>
          <t>Nigussie, Netsanet</t>
        </is>
      </c>
      <c r="B752" t="inlineStr">
        <is>
          <t>Ethiopia</t>
        </is>
      </c>
      <c r="C752" t="inlineStr">
        <is>
          <t>ETH08</t>
        </is>
      </c>
      <c r="D752" t="n">
        <v>4</v>
      </c>
      <c r="E752" t="inlineStr">
        <is>
          <t>KP - Technical Director</t>
        </is>
      </c>
      <c r="F752">
        <f>SUMIF($A$2:$A$1594,A752,$D$2:$D$1594)</f>
        <v/>
      </c>
    </row>
    <row r="753">
      <c r="A753" t="inlineStr">
        <is>
          <t>Nigussie, Netsanet</t>
        </is>
      </c>
      <c r="B753" t="inlineStr">
        <is>
          <t>Ethiopia</t>
        </is>
      </c>
      <c r="C753" t="inlineStr">
        <is>
          <t>ETH09</t>
        </is>
      </c>
      <c r="D753" t="n">
        <v>4</v>
      </c>
      <c r="E753" t="inlineStr">
        <is>
          <t>KP - Technical Director</t>
        </is>
      </c>
      <c r="F753">
        <f>SUMIF($A$2:$A$1594,A753,$D$2:$D$1594)</f>
        <v/>
      </c>
    </row>
    <row r="754">
      <c r="A754" t="inlineStr">
        <is>
          <t>Nigussie, Netsanet</t>
        </is>
      </c>
      <c r="B754" t="inlineStr">
        <is>
          <t>Ethiopia</t>
        </is>
      </c>
      <c r="C754" t="inlineStr">
        <is>
          <t>ETH10</t>
        </is>
      </c>
      <c r="D754" t="n">
        <v>4</v>
      </c>
      <c r="E754" t="inlineStr">
        <is>
          <t>KP - Technical Director</t>
        </is>
      </c>
      <c r="F754">
        <f>SUMIF($A$2:$A$1594,A754,$D$2:$D$1594)</f>
        <v/>
      </c>
    </row>
    <row r="755">
      <c r="A755" t="inlineStr">
        <is>
          <t>Nigussie, Netsanet</t>
        </is>
      </c>
      <c r="B755" t="inlineStr">
        <is>
          <t>Ethiopia</t>
        </is>
      </c>
      <c r="C755" t="inlineStr">
        <is>
          <t>ETH11</t>
        </is>
      </c>
      <c r="D755" t="n">
        <v>5</v>
      </c>
      <c r="E755" t="inlineStr">
        <is>
          <t>KP - Technical Director</t>
        </is>
      </c>
      <c r="F755">
        <f>SUMIF($A$2:$A$1594,A755,$D$2:$D$1594)</f>
        <v/>
      </c>
    </row>
    <row r="756">
      <c r="A756" t="inlineStr">
        <is>
          <t>Nigussie, Netsanet</t>
        </is>
      </c>
      <c r="B756" t="inlineStr">
        <is>
          <t>Ethiopia</t>
        </is>
      </c>
      <c r="C756" t="inlineStr">
        <is>
          <t>ETH12</t>
        </is>
      </c>
      <c r="D756" t="n">
        <v>5</v>
      </c>
      <c r="E756" t="inlineStr">
        <is>
          <t>KP - Technical Director</t>
        </is>
      </c>
      <c r="F756">
        <f>SUMIF($A$2:$A$1594,A756,$D$2:$D$1594)</f>
        <v/>
      </c>
    </row>
    <row r="757">
      <c r="A757" t="inlineStr">
        <is>
          <t>Nigussie, Netsanet</t>
        </is>
      </c>
      <c r="B757" t="inlineStr">
        <is>
          <t>Ethiopia</t>
        </is>
      </c>
      <c r="C757" t="inlineStr">
        <is>
          <t>ETH13</t>
        </is>
      </c>
      <c r="D757" t="n">
        <v>5</v>
      </c>
      <c r="E757" t="inlineStr">
        <is>
          <t>KP - Technical Director</t>
        </is>
      </c>
      <c r="F757">
        <f>SUMIF($A$2:$A$1594,A757,$D$2:$D$1594)</f>
        <v/>
      </c>
    </row>
    <row r="758">
      <c r="A758" t="inlineStr">
        <is>
          <t>Nigussie, Netsanet</t>
        </is>
      </c>
      <c r="B758" t="inlineStr">
        <is>
          <t>Ethiopia</t>
        </is>
      </c>
      <c r="C758" t="inlineStr">
        <is>
          <t>ETH14</t>
        </is>
      </c>
      <c r="D758" t="n">
        <v>5</v>
      </c>
      <c r="E758" t="inlineStr">
        <is>
          <t>KP - Technical Director</t>
        </is>
      </c>
      <c r="F758">
        <f>SUMIF($A$2:$A$1594,A758,$D$2:$D$1594)</f>
        <v/>
      </c>
    </row>
    <row r="759">
      <c r="A759" t="inlineStr">
        <is>
          <t>Mensah, Margaret</t>
        </is>
      </c>
      <c r="B759" t="inlineStr">
        <is>
          <t>Ethiopia</t>
        </is>
      </c>
      <c r="C759" t="inlineStr">
        <is>
          <t>ETH01</t>
        </is>
      </c>
      <c r="D759" t="n">
        <v>4</v>
      </c>
      <c r="E759" t="inlineStr">
        <is>
          <t>KP - Finance Director</t>
        </is>
      </c>
      <c r="F759">
        <f>SUMIF($A$2:$A$1594,A759,$D$2:$D$1594)</f>
        <v/>
      </c>
    </row>
    <row r="760">
      <c r="A760" t="inlineStr">
        <is>
          <t>Mensah, Margaret</t>
        </is>
      </c>
      <c r="B760" t="inlineStr">
        <is>
          <t>Ethiopia</t>
        </is>
      </c>
      <c r="C760" t="inlineStr">
        <is>
          <t>ETH02</t>
        </is>
      </c>
      <c r="D760" t="n">
        <v>4</v>
      </c>
      <c r="E760" t="inlineStr">
        <is>
          <t>KP - Finance Director</t>
        </is>
      </c>
      <c r="F760">
        <f>SUMIF($A$2:$A$1594,A760,$D$2:$D$1594)</f>
        <v/>
      </c>
    </row>
    <row r="761">
      <c r="A761" t="inlineStr">
        <is>
          <t>Mensah, Margaret</t>
        </is>
      </c>
      <c r="B761" t="inlineStr">
        <is>
          <t>Ethiopia</t>
        </is>
      </c>
      <c r="C761" t="inlineStr">
        <is>
          <t>ETH03</t>
        </is>
      </c>
      <c r="D761" t="n">
        <v>4</v>
      </c>
      <c r="E761" t="inlineStr">
        <is>
          <t>KP - Finance Director</t>
        </is>
      </c>
      <c r="F761">
        <f>SUMIF($A$2:$A$1594,A761,$D$2:$D$1594)</f>
        <v/>
      </c>
    </row>
    <row r="762">
      <c r="A762" t="inlineStr">
        <is>
          <t>Mensah, Margaret</t>
        </is>
      </c>
      <c r="B762" t="inlineStr">
        <is>
          <t>Ethiopia</t>
        </is>
      </c>
      <c r="C762" t="inlineStr">
        <is>
          <t>ETH04</t>
        </is>
      </c>
      <c r="D762" t="n">
        <v>4</v>
      </c>
      <c r="E762" t="inlineStr">
        <is>
          <t>KP - Finance Director</t>
        </is>
      </c>
      <c r="F762">
        <f>SUMIF($A$2:$A$1594,A762,$D$2:$D$1594)</f>
        <v/>
      </c>
    </row>
    <row r="763">
      <c r="A763" t="inlineStr">
        <is>
          <t>Mensah, Margaret</t>
        </is>
      </c>
      <c r="B763" t="inlineStr">
        <is>
          <t>Ethiopia</t>
        </is>
      </c>
      <c r="C763" t="inlineStr">
        <is>
          <t>ETH05</t>
        </is>
      </c>
      <c r="D763" t="n">
        <v>4</v>
      </c>
      <c r="E763" t="inlineStr">
        <is>
          <t>KP - Finance Director</t>
        </is>
      </c>
      <c r="F763">
        <f>SUMIF($A$2:$A$1594,A763,$D$2:$D$1594)</f>
        <v/>
      </c>
    </row>
    <row r="764">
      <c r="A764" t="inlineStr">
        <is>
          <t>Mensah, Margaret</t>
        </is>
      </c>
      <c r="B764" t="inlineStr">
        <is>
          <t>Ethiopia</t>
        </is>
      </c>
      <c r="C764" t="inlineStr">
        <is>
          <t>ETH06</t>
        </is>
      </c>
      <c r="D764" t="n">
        <v>4</v>
      </c>
      <c r="E764" t="inlineStr">
        <is>
          <t>KP - Finance Director</t>
        </is>
      </c>
      <c r="F764">
        <f>SUMIF($A$2:$A$1594,A764,$D$2:$D$1594)</f>
        <v/>
      </c>
    </row>
    <row r="765">
      <c r="A765" t="inlineStr">
        <is>
          <t>Mensah, Margaret</t>
        </is>
      </c>
      <c r="B765" t="inlineStr">
        <is>
          <t>Ethiopia</t>
        </is>
      </c>
      <c r="C765" t="inlineStr">
        <is>
          <t>ETH07</t>
        </is>
      </c>
      <c r="D765" t="n">
        <v>4</v>
      </c>
      <c r="E765" t="inlineStr">
        <is>
          <t>KP - Finance Director</t>
        </is>
      </c>
      <c r="F765">
        <f>SUMIF($A$2:$A$1594,A765,$D$2:$D$1594)</f>
        <v/>
      </c>
    </row>
    <row r="766">
      <c r="A766" t="inlineStr">
        <is>
          <t>Mensah, Margaret</t>
        </is>
      </c>
      <c r="B766" t="inlineStr">
        <is>
          <t>Ethiopia</t>
        </is>
      </c>
      <c r="C766" t="inlineStr">
        <is>
          <t>ETH08</t>
        </is>
      </c>
      <c r="D766" t="n">
        <v>4</v>
      </c>
      <c r="E766" t="inlineStr">
        <is>
          <t>KP - Finance Director</t>
        </is>
      </c>
      <c r="F766">
        <f>SUMIF($A$2:$A$1594,A766,$D$2:$D$1594)</f>
        <v/>
      </c>
    </row>
    <row r="767">
      <c r="A767" t="inlineStr">
        <is>
          <t>Mensah, Margaret</t>
        </is>
      </c>
      <c r="B767" t="inlineStr">
        <is>
          <t>Ethiopia</t>
        </is>
      </c>
      <c r="C767" t="inlineStr">
        <is>
          <t>ETH09</t>
        </is>
      </c>
      <c r="D767" t="n">
        <v>4</v>
      </c>
      <c r="E767" t="inlineStr">
        <is>
          <t>KP - Finance Director</t>
        </is>
      </c>
      <c r="F767">
        <f>SUMIF($A$2:$A$1594,A767,$D$2:$D$1594)</f>
        <v/>
      </c>
    </row>
    <row r="768">
      <c r="A768" t="inlineStr">
        <is>
          <t>Mensah, Margaret</t>
        </is>
      </c>
      <c r="B768" t="inlineStr">
        <is>
          <t>Ethiopia</t>
        </is>
      </c>
      <c r="C768" t="inlineStr">
        <is>
          <t>ETH10</t>
        </is>
      </c>
      <c r="D768" t="n">
        <v>4</v>
      </c>
      <c r="E768" t="inlineStr">
        <is>
          <t>KP - Finance Director</t>
        </is>
      </c>
      <c r="F768">
        <f>SUMIF($A$2:$A$1594,A768,$D$2:$D$1594)</f>
        <v/>
      </c>
    </row>
    <row r="769">
      <c r="A769" t="inlineStr">
        <is>
          <t>Mensah, Margaret</t>
        </is>
      </c>
      <c r="B769" t="inlineStr">
        <is>
          <t>Ethiopia</t>
        </is>
      </c>
      <c r="C769" t="inlineStr">
        <is>
          <t>ETH11</t>
        </is>
      </c>
      <c r="D769" t="n">
        <v>5</v>
      </c>
      <c r="E769" t="inlineStr">
        <is>
          <t>KP - Finance Director</t>
        </is>
      </c>
      <c r="F769">
        <f>SUMIF($A$2:$A$1594,A769,$D$2:$D$1594)</f>
        <v/>
      </c>
    </row>
    <row r="770">
      <c r="A770" t="inlineStr">
        <is>
          <t>Mensah, Margaret</t>
        </is>
      </c>
      <c r="B770" t="inlineStr">
        <is>
          <t>Ethiopia</t>
        </is>
      </c>
      <c r="C770" t="inlineStr">
        <is>
          <t>ETH12</t>
        </is>
      </c>
      <c r="D770" t="n">
        <v>5</v>
      </c>
      <c r="E770" t="inlineStr">
        <is>
          <t>KP - Finance Director</t>
        </is>
      </c>
      <c r="F770">
        <f>SUMIF($A$2:$A$1594,A770,$D$2:$D$1594)</f>
        <v/>
      </c>
    </row>
    <row r="771">
      <c r="A771" t="inlineStr">
        <is>
          <t>Mensah, Margaret</t>
        </is>
      </c>
      <c r="B771" t="inlineStr">
        <is>
          <t>Ethiopia</t>
        </is>
      </c>
      <c r="C771" t="inlineStr">
        <is>
          <t>ETH13</t>
        </is>
      </c>
      <c r="D771" t="n">
        <v>5</v>
      </c>
      <c r="E771" t="inlineStr">
        <is>
          <t>KP - Finance Director</t>
        </is>
      </c>
      <c r="F771">
        <f>SUMIF($A$2:$A$1594,A771,$D$2:$D$1594)</f>
        <v/>
      </c>
    </row>
    <row r="772">
      <c r="A772" t="inlineStr">
        <is>
          <t>Mensah, Margaret</t>
        </is>
      </c>
      <c r="B772" t="inlineStr">
        <is>
          <t>Ethiopia</t>
        </is>
      </c>
      <c r="C772" t="inlineStr">
        <is>
          <t>ETH14</t>
        </is>
      </c>
      <c r="D772" t="n">
        <v>5</v>
      </c>
      <c r="E772" t="inlineStr">
        <is>
          <t>KP - Finance Director</t>
        </is>
      </c>
      <c r="F772">
        <f>SUMIF($A$2:$A$1594,A772,$D$2:$D$1594)</f>
        <v/>
      </c>
    </row>
    <row r="773">
      <c r="A773" t="inlineStr">
        <is>
          <t>Friedman, Jonathan</t>
        </is>
      </c>
      <c r="B773" t="inlineStr">
        <is>
          <t>Ethiopia</t>
        </is>
      </c>
      <c r="C773" t="inlineStr">
        <is>
          <t>ETH01</t>
        </is>
      </c>
      <c r="D773" t="n">
        <v>4</v>
      </c>
      <c r="E773" t="inlineStr">
        <is>
          <t>AI/ML Lead</t>
        </is>
      </c>
      <c r="F773">
        <f>SUMIF($A$2:$A$1594,A773,$D$2:$D$1594)</f>
        <v/>
      </c>
    </row>
    <row r="774">
      <c r="A774" t="inlineStr">
        <is>
          <t>Friedman, Jonathan</t>
        </is>
      </c>
      <c r="B774" t="inlineStr">
        <is>
          <t>Ethiopia</t>
        </is>
      </c>
      <c r="C774" t="inlineStr">
        <is>
          <t>ETH02</t>
        </is>
      </c>
      <c r="D774" t="n">
        <v>4</v>
      </c>
      <c r="E774" t="inlineStr">
        <is>
          <t>AI/ML Lead</t>
        </is>
      </c>
      <c r="F774">
        <f>SUMIF($A$2:$A$1594,A774,$D$2:$D$1594)</f>
        <v/>
      </c>
    </row>
    <row r="775">
      <c r="A775" t="inlineStr">
        <is>
          <t>Friedman, Jonathan</t>
        </is>
      </c>
      <c r="B775" t="inlineStr">
        <is>
          <t>Ethiopia</t>
        </is>
      </c>
      <c r="C775" t="inlineStr">
        <is>
          <t>ETH03</t>
        </is>
      </c>
      <c r="D775" t="n">
        <v>4</v>
      </c>
      <c r="E775" t="inlineStr">
        <is>
          <t>AI/ML Lead</t>
        </is>
      </c>
      <c r="F775">
        <f>SUMIF($A$2:$A$1594,A775,$D$2:$D$1594)</f>
        <v/>
      </c>
    </row>
    <row r="776">
      <c r="A776" t="inlineStr">
        <is>
          <t>Friedman, Jonathan</t>
        </is>
      </c>
      <c r="B776" t="inlineStr">
        <is>
          <t>Ethiopia</t>
        </is>
      </c>
      <c r="C776" t="inlineStr">
        <is>
          <t>ETH04</t>
        </is>
      </c>
      <c r="D776" t="n">
        <v>4</v>
      </c>
      <c r="E776" t="inlineStr">
        <is>
          <t>AI/ML Lead</t>
        </is>
      </c>
      <c r="F776">
        <f>SUMIF($A$2:$A$1594,A776,$D$2:$D$1594)</f>
        <v/>
      </c>
    </row>
    <row r="777">
      <c r="A777" t="inlineStr">
        <is>
          <t>Friedman, Jonathan</t>
        </is>
      </c>
      <c r="B777" t="inlineStr">
        <is>
          <t>Ethiopia</t>
        </is>
      </c>
      <c r="C777" t="inlineStr">
        <is>
          <t>ETH05</t>
        </is>
      </c>
      <c r="D777" t="n">
        <v>4</v>
      </c>
      <c r="E777" t="inlineStr">
        <is>
          <t>AI/ML Lead</t>
        </is>
      </c>
      <c r="F777">
        <f>SUMIF($A$2:$A$1594,A777,$D$2:$D$1594)</f>
        <v/>
      </c>
    </row>
    <row r="778">
      <c r="A778" t="inlineStr">
        <is>
          <t>Friedman, Jonathan</t>
        </is>
      </c>
      <c r="B778" t="inlineStr">
        <is>
          <t>Ethiopia</t>
        </is>
      </c>
      <c r="C778" t="inlineStr">
        <is>
          <t>ETH06</t>
        </is>
      </c>
      <c r="D778" t="n">
        <v>4</v>
      </c>
      <c r="E778" t="inlineStr">
        <is>
          <t>AI/ML Lead</t>
        </is>
      </c>
      <c r="F778">
        <f>SUMIF($A$2:$A$1594,A778,$D$2:$D$1594)</f>
        <v/>
      </c>
    </row>
    <row r="779">
      <c r="A779" t="inlineStr">
        <is>
          <t>Friedman, Jonathan</t>
        </is>
      </c>
      <c r="B779" t="inlineStr">
        <is>
          <t>Ethiopia</t>
        </is>
      </c>
      <c r="C779" t="inlineStr">
        <is>
          <t>ETH07</t>
        </is>
      </c>
      <c r="D779" t="n">
        <v>4</v>
      </c>
      <c r="E779" t="inlineStr">
        <is>
          <t>AI/ML Lead</t>
        </is>
      </c>
      <c r="F779">
        <f>SUMIF($A$2:$A$1594,A779,$D$2:$D$1594)</f>
        <v/>
      </c>
    </row>
    <row r="780">
      <c r="A780" t="inlineStr">
        <is>
          <t>Friedman, Jonathan</t>
        </is>
      </c>
      <c r="B780" t="inlineStr">
        <is>
          <t>Ethiopia</t>
        </is>
      </c>
      <c r="C780" t="inlineStr">
        <is>
          <t>ETH08</t>
        </is>
      </c>
      <c r="D780" t="n">
        <v>4</v>
      </c>
      <c r="E780" t="inlineStr">
        <is>
          <t>AI/ML Lead</t>
        </is>
      </c>
      <c r="F780">
        <f>SUMIF($A$2:$A$1594,A780,$D$2:$D$1594)</f>
        <v/>
      </c>
    </row>
    <row r="781">
      <c r="A781" t="inlineStr">
        <is>
          <t>Friedman, Jonathan</t>
        </is>
      </c>
      <c r="B781" t="inlineStr">
        <is>
          <t>Ethiopia</t>
        </is>
      </c>
      <c r="C781" t="inlineStr">
        <is>
          <t>ETH09</t>
        </is>
      </c>
      <c r="D781" t="n">
        <v>4</v>
      </c>
      <c r="E781" t="inlineStr">
        <is>
          <t>AI/ML Lead</t>
        </is>
      </c>
      <c r="F781">
        <f>SUMIF($A$2:$A$1594,A781,$D$2:$D$1594)</f>
        <v/>
      </c>
    </row>
    <row r="782">
      <c r="A782" t="inlineStr">
        <is>
          <t>Friedman, Jonathan</t>
        </is>
      </c>
      <c r="B782" t="inlineStr">
        <is>
          <t>Ethiopia</t>
        </is>
      </c>
      <c r="C782" t="inlineStr">
        <is>
          <t>ETH10</t>
        </is>
      </c>
      <c r="D782" t="n">
        <v>4</v>
      </c>
      <c r="E782" t="inlineStr">
        <is>
          <t>AI/ML Lead</t>
        </is>
      </c>
      <c r="F782">
        <f>SUMIF($A$2:$A$1594,A782,$D$2:$D$1594)</f>
        <v/>
      </c>
    </row>
    <row r="783">
      <c r="A783" t="inlineStr">
        <is>
          <t>Friedman, Jonathan</t>
        </is>
      </c>
      <c r="B783" t="inlineStr">
        <is>
          <t>Ethiopia</t>
        </is>
      </c>
      <c r="C783" t="inlineStr">
        <is>
          <t>ETH11</t>
        </is>
      </c>
      <c r="D783" t="n">
        <v>5</v>
      </c>
      <c r="E783" t="inlineStr">
        <is>
          <t>AI/ML Lead</t>
        </is>
      </c>
      <c r="F783">
        <f>SUMIF($A$2:$A$1594,A783,$D$2:$D$1594)</f>
        <v/>
      </c>
    </row>
    <row r="784">
      <c r="A784" t="inlineStr">
        <is>
          <t>Friedman, Jonathan</t>
        </is>
      </c>
      <c r="B784" t="inlineStr">
        <is>
          <t>Ethiopia</t>
        </is>
      </c>
      <c r="C784" t="inlineStr">
        <is>
          <t>ETH12</t>
        </is>
      </c>
      <c r="D784" t="n">
        <v>5</v>
      </c>
      <c r="E784" t="inlineStr">
        <is>
          <t>AI/ML Lead</t>
        </is>
      </c>
      <c r="F784">
        <f>SUMIF($A$2:$A$1594,A784,$D$2:$D$1594)</f>
        <v/>
      </c>
    </row>
    <row r="785">
      <c r="A785" t="inlineStr">
        <is>
          <t>Friedman, Jonathan</t>
        </is>
      </c>
      <c r="B785" t="inlineStr">
        <is>
          <t>Ethiopia</t>
        </is>
      </c>
      <c r="C785" t="inlineStr">
        <is>
          <t>ETH13</t>
        </is>
      </c>
      <c r="D785" t="n">
        <v>5</v>
      </c>
      <c r="E785" t="inlineStr">
        <is>
          <t>AI/ML Lead</t>
        </is>
      </c>
      <c r="F785">
        <f>SUMIF($A$2:$A$1594,A785,$D$2:$D$1594)</f>
        <v/>
      </c>
    </row>
    <row r="786">
      <c r="A786" t="inlineStr">
        <is>
          <t>Friedman, Jonathan</t>
        </is>
      </c>
      <c r="B786" t="inlineStr">
        <is>
          <t>Ethiopia</t>
        </is>
      </c>
      <c r="C786" t="inlineStr">
        <is>
          <t>ETH14</t>
        </is>
      </c>
      <c r="D786" t="n">
        <v>5</v>
      </c>
      <c r="E786" t="inlineStr">
        <is>
          <t>AI/ML Lead</t>
        </is>
      </c>
      <c r="F786">
        <f>SUMIF($A$2:$A$1594,A786,$D$2:$D$1594)</f>
        <v/>
      </c>
    </row>
    <row r="787">
      <c r="A787" t="inlineStr">
        <is>
          <t>Mavyuva, Boniface</t>
        </is>
      </c>
      <c r="B787" t="inlineStr">
        <is>
          <t>Ethiopia</t>
        </is>
      </c>
      <c r="C787" t="inlineStr">
        <is>
          <t>ETH01</t>
        </is>
      </c>
      <c r="D787" t="n">
        <v>2</v>
      </c>
      <c r="E787" t="inlineStr">
        <is>
          <t>Dig Infrastructure Lead</t>
        </is>
      </c>
      <c r="F787">
        <f>SUMIF($A$2:$A$1594,A787,$D$2:$D$1594)</f>
        <v/>
      </c>
    </row>
    <row r="788">
      <c r="A788" t="inlineStr">
        <is>
          <t>Mavyuva, Boniface</t>
        </is>
      </c>
      <c r="B788" t="inlineStr">
        <is>
          <t>Ethiopia</t>
        </is>
      </c>
      <c r="C788" t="inlineStr">
        <is>
          <t>ETH02</t>
        </is>
      </c>
      <c r="D788" t="n">
        <v>2</v>
      </c>
      <c r="E788" t="inlineStr">
        <is>
          <t>Dig Infrastructure Lead</t>
        </is>
      </c>
      <c r="F788">
        <f>SUMIF($A$2:$A$1594,A788,$D$2:$D$1594)</f>
        <v/>
      </c>
    </row>
    <row r="789">
      <c r="A789" t="inlineStr">
        <is>
          <t>Mavyuva, Boniface</t>
        </is>
      </c>
      <c r="B789" t="inlineStr">
        <is>
          <t>Ethiopia</t>
        </is>
      </c>
      <c r="C789" t="inlineStr">
        <is>
          <t>ETH03</t>
        </is>
      </c>
      <c r="D789" t="n">
        <v>2</v>
      </c>
      <c r="E789" t="inlineStr">
        <is>
          <t>Dig Infrastructure Lead</t>
        </is>
      </c>
      <c r="F789">
        <f>SUMIF($A$2:$A$1594,A789,$D$2:$D$1594)</f>
        <v/>
      </c>
    </row>
    <row r="790">
      <c r="A790" t="inlineStr">
        <is>
          <t>Mavyuva, Boniface</t>
        </is>
      </c>
      <c r="B790" t="inlineStr">
        <is>
          <t>Ethiopia</t>
        </is>
      </c>
      <c r="C790" t="inlineStr">
        <is>
          <t>ETH04</t>
        </is>
      </c>
      <c r="D790" t="n">
        <v>2</v>
      </c>
      <c r="E790" t="inlineStr">
        <is>
          <t>Dig Infrastructure Lead</t>
        </is>
      </c>
      <c r="F790">
        <f>SUMIF($A$2:$A$1594,A790,$D$2:$D$1594)</f>
        <v/>
      </c>
    </row>
    <row r="791">
      <c r="A791" t="inlineStr">
        <is>
          <t>Mavyuva, Boniface</t>
        </is>
      </c>
      <c r="B791" t="inlineStr">
        <is>
          <t>Ethiopia</t>
        </is>
      </c>
      <c r="C791" t="inlineStr">
        <is>
          <t>ETH05</t>
        </is>
      </c>
      <c r="D791" t="n">
        <v>2</v>
      </c>
      <c r="E791" t="inlineStr">
        <is>
          <t>Dig Infrastructure Lead</t>
        </is>
      </c>
      <c r="F791">
        <f>SUMIF($A$2:$A$1594,A791,$D$2:$D$1594)</f>
        <v/>
      </c>
    </row>
    <row r="792">
      <c r="A792" t="inlineStr">
        <is>
          <t>Mavyuva, Boniface</t>
        </is>
      </c>
      <c r="B792" t="inlineStr">
        <is>
          <t>Ethiopia</t>
        </is>
      </c>
      <c r="C792" t="inlineStr">
        <is>
          <t>ETH06</t>
        </is>
      </c>
      <c r="D792" t="n">
        <v>1</v>
      </c>
      <c r="E792" t="inlineStr">
        <is>
          <t>Dig Infrastructure Lead</t>
        </is>
      </c>
      <c r="F792">
        <f>SUMIF($A$2:$A$1594,A792,$D$2:$D$1594)</f>
        <v/>
      </c>
    </row>
    <row r="793">
      <c r="A793" t="inlineStr">
        <is>
          <t>Mavyuva, Boniface</t>
        </is>
      </c>
      <c r="B793" t="inlineStr">
        <is>
          <t>Ethiopia</t>
        </is>
      </c>
      <c r="C793" t="inlineStr">
        <is>
          <t>ETH07</t>
        </is>
      </c>
      <c r="D793" t="n">
        <v>1</v>
      </c>
      <c r="E793" t="inlineStr">
        <is>
          <t>Dig Infrastructure Lead</t>
        </is>
      </c>
      <c r="F793">
        <f>SUMIF($A$2:$A$1594,A793,$D$2:$D$1594)</f>
        <v/>
      </c>
    </row>
    <row r="794">
      <c r="A794" t="inlineStr">
        <is>
          <t>Mavyuva, Boniface</t>
        </is>
      </c>
      <c r="B794" t="inlineStr">
        <is>
          <t>Ethiopia</t>
        </is>
      </c>
      <c r="C794" t="inlineStr">
        <is>
          <t>ETH08</t>
        </is>
      </c>
      <c r="D794" t="n">
        <v>1</v>
      </c>
      <c r="E794" t="inlineStr">
        <is>
          <t>Dig Infrastructure Lead</t>
        </is>
      </c>
      <c r="F794">
        <f>SUMIF($A$2:$A$1594,A794,$D$2:$D$1594)</f>
        <v/>
      </c>
    </row>
    <row r="795">
      <c r="A795" t="inlineStr">
        <is>
          <t>Mavyuva, Boniface</t>
        </is>
      </c>
      <c r="B795" t="inlineStr">
        <is>
          <t>Ethiopia</t>
        </is>
      </c>
      <c r="C795" t="inlineStr">
        <is>
          <t>ETH09</t>
        </is>
      </c>
      <c r="D795" t="n">
        <v>1</v>
      </c>
      <c r="E795" t="inlineStr">
        <is>
          <t>Dig Infrastructure Lead</t>
        </is>
      </c>
      <c r="F795">
        <f>SUMIF($A$2:$A$1594,A795,$D$2:$D$1594)</f>
        <v/>
      </c>
    </row>
    <row r="796">
      <c r="A796" t="inlineStr">
        <is>
          <t>Mavyuva, Boniface</t>
        </is>
      </c>
      <c r="B796" t="inlineStr">
        <is>
          <t>Ethiopia</t>
        </is>
      </c>
      <c r="C796" t="inlineStr">
        <is>
          <t>ETH10</t>
        </is>
      </c>
      <c r="D796" t="n">
        <v>1</v>
      </c>
      <c r="E796" t="inlineStr">
        <is>
          <t>Dig Infrastructure Lead</t>
        </is>
      </c>
      <c r="F796">
        <f>SUMIF($A$2:$A$1594,A796,$D$2:$D$1594)</f>
        <v/>
      </c>
    </row>
    <row r="797">
      <c r="A797" t="inlineStr">
        <is>
          <t>Mavyuva, Boniface</t>
        </is>
      </c>
      <c r="B797" t="inlineStr">
        <is>
          <t>Ethiopia</t>
        </is>
      </c>
      <c r="C797" t="inlineStr">
        <is>
          <t>ETH11</t>
        </is>
      </c>
      <c r="D797" t="n">
        <v>1</v>
      </c>
      <c r="E797" t="inlineStr">
        <is>
          <t>Dig Infrastructure Lead</t>
        </is>
      </c>
      <c r="F797">
        <f>SUMIF($A$2:$A$1594,A797,$D$2:$D$1594)</f>
        <v/>
      </c>
    </row>
    <row r="798">
      <c r="A798" t="inlineStr">
        <is>
          <t>Mavyuva, Boniface</t>
        </is>
      </c>
      <c r="B798" t="inlineStr">
        <is>
          <t>Ethiopia</t>
        </is>
      </c>
      <c r="C798" t="inlineStr">
        <is>
          <t>ETH12</t>
        </is>
      </c>
      <c r="D798" t="n">
        <v>2</v>
      </c>
      <c r="E798" t="inlineStr">
        <is>
          <t>Dig Infrastructure Lead</t>
        </is>
      </c>
      <c r="F798">
        <f>SUMIF($A$2:$A$1594,A798,$D$2:$D$1594)</f>
        <v/>
      </c>
    </row>
    <row r="799">
      <c r="A799" t="inlineStr">
        <is>
          <t>Mavyuva, Boniface</t>
        </is>
      </c>
      <c r="B799" t="inlineStr">
        <is>
          <t>Ethiopia</t>
        </is>
      </c>
      <c r="C799" t="inlineStr">
        <is>
          <t>ETH13</t>
        </is>
      </c>
      <c r="D799" t="n">
        <v>2</v>
      </c>
      <c r="E799" t="inlineStr">
        <is>
          <t>Dig Infrastructure Lead</t>
        </is>
      </c>
      <c r="F799">
        <f>SUMIF($A$2:$A$1594,A799,$D$2:$D$1594)</f>
        <v/>
      </c>
    </row>
    <row r="800">
      <c r="A800" t="inlineStr">
        <is>
          <t>Mavyuva, Boniface</t>
        </is>
      </c>
      <c r="B800" t="inlineStr">
        <is>
          <t>Ethiopia</t>
        </is>
      </c>
      <c r="C800" t="inlineStr">
        <is>
          <t>ETH14</t>
        </is>
      </c>
      <c r="D800" t="n">
        <v>2</v>
      </c>
      <c r="E800" t="inlineStr">
        <is>
          <t>Dig Infrastructure Lead</t>
        </is>
      </c>
      <c r="F800">
        <f>SUMIF($A$2:$A$1594,A800,$D$2:$D$1594)</f>
        <v/>
      </c>
    </row>
    <row r="801">
      <c r="A801" t="inlineStr">
        <is>
          <t>Ogana, Nelson</t>
        </is>
      </c>
      <c r="B801" t="inlineStr">
        <is>
          <t>Ethiopia</t>
        </is>
      </c>
      <c r="C801" t="inlineStr">
        <is>
          <t>ETH01</t>
        </is>
      </c>
      <c r="D801" t="n">
        <v>4</v>
      </c>
      <c r="E801" t="inlineStr">
        <is>
          <t>Infosec Co-Lead</t>
        </is>
      </c>
      <c r="F801">
        <f>SUMIF($A$2:$A$1594,A801,$D$2:$D$1594)</f>
        <v/>
      </c>
    </row>
    <row r="802">
      <c r="A802" t="inlineStr">
        <is>
          <t>Ogana, Nelson</t>
        </is>
      </c>
      <c r="B802" t="inlineStr">
        <is>
          <t>Ethiopia</t>
        </is>
      </c>
      <c r="C802" t="inlineStr">
        <is>
          <t>ETH02</t>
        </is>
      </c>
      <c r="D802" t="n">
        <v>4</v>
      </c>
      <c r="E802" t="inlineStr">
        <is>
          <t>Infosec Co-Lead</t>
        </is>
      </c>
      <c r="F802">
        <f>SUMIF($A$2:$A$1594,A802,$D$2:$D$1594)</f>
        <v/>
      </c>
    </row>
    <row r="803">
      <c r="A803" t="inlineStr">
        <is>
          <t>Ogana, Nelson</t>
        </is>
      </c>
      <c r="B803" t="inlineStr">
        <is>
          <t>Ethiopia</t>
        </is>
      </c>
      <c r="C803" t="inlineStr">
        <is>
          <t>ETH03</t>
        </is>
      </c>
      <c r="D803" t="n">
        <v>4</v>
      </c>
      <c r="E803" t="inlineStr">
        <is>
          <t>Infosec Co-Lead</t>
        </is>
      </c>
      <c r="F803">
        <f>SUMIF($A$2:$A$1594,A803,$D$2:$D$1594)</f>
        <v/>
      </c>
    </row>
    <row r="804">
      <c r="A804" t="inlineStr">
        <is>
          <t>Ogana, Nelson</t>
        </is>
      </c>
      <c r="B804" t="inlineStr">
        <is>
          <t>Ethiopia</t>
        </is>
      </c>
      <c r="C804" t="inlineStr">
        <is>
          <t>ETH04</t>
        </is>
      </c>
      <c r="D804" t="n">
        <v>4</v>
      </c>
      <c r="E804" t="inlineStr">
        <is>
          <t>Infosec Co-Lead</t>
        </is>
      </c>
      <c r="F804">
        <f>SUMIF($A$2:$A$1594,A804,$D$2:$D$1594)</f>
        <v/>
      </c>
    </row>
    <row r="805">
      <c r="A805" t="inlineStr">
        <is>
          <t>Ogana, Nelson</t>
        </is>
      </c>
      <c r="B805" t="inlineStr">
        <is>
          <t>Ethiopia</t>
        </is>
      </c>
      <c r="C805" t="inlineStr">
        <is>
          <t>ETH05</t>
        </is>
      </c>
      <c r="D805" t="n">
        <v>4</v>
      </c>
      <c r="E805" t="inlineStr">
        <is>
          <t>Infosec Co-Lead</t>
        </is>
      </c>
      <c r="F805">
        <f>SUMIF($A$2:$A$1594,A805,$D$2:$D$1594)</f>
        <v/>
      </c>
    </row>
    <row r="806">
      <c r="A806" t="inlineStr">
        <is>
          <t>Ogana, Nelson</t>
        </is>
      </c>
      <c r="B806" t="inlineStr">
        <is>
          <t>Ethiopia</t>
        </is>
      </c>
      <c r="C806" t="inlineStr">
        <is>
          <t>ETH06</t>
        </is>
      </c>
      <c r="D806" t="n">
        <v>4</v>
      </c>
      <c r="E806" t="inlineStr">
        <is>
          <t>Infosec Co-Lead</t>
        </is>
      </c>
      <c r="F806">
        <f>SUMIF($A$2:$A$1594,A806,$D$2:$D$1594)</f>
        <v/>
      </c>
    </row>
    <row r="807">
      <c r="A807" t="inlineStr">
        <is>
          <t>Ogana, Nelson</t>
        </is>
      </c>
      <c r="B807" t="inlineStr">
        <is>
          <t>Ethiopia</t>
        </is>
      </c>
      <c r="C807" t="inlineStr">
        <is>
          <t>ETH07</t>
        </is>
      </c>
      <c r="D807" t="n">
        <v>4</v>
      </c>
      <c r="E807" t="inlineStr">
        <is>
          <t>Infosec Co-Lead</t>
        </is>
      </c>
      <c r="F807">
        <f>SUMIF($A$2:$A$1594,A807,$D$2:$D$1594)</f>
        <v/>
      </c>
    </row>
    <row r="808">
      <c r="A808" t="inlineStr">
        <is>
          <t>Ogana, Nelson</t>
        </is>
      </c>
      <c r="B808" t="inlineStr">
        <is>
          <t>Ethiopia</t>
        </is>
      </c>
      <c r="C808" t="inlineStr">
        <is>
          <t>ETH08</t>
        </is>
      </c>
      <c r="D808" t="n">
        <v>4</v>
      </c>
      <c r="E808" t="inlineStr">
        <is>
          <t>Infosec Co-Lead</t>
        </is>
      </c>
      <c r="F808">
        <f>SUMIF($A$2:$A$1594,A808,$D$2:$D$1594)</f>
        <v/>
      </c>
    </row>
    <row r="809">
      <c r="A809" t="inlineStr">
        <is>
          <t>Ogana, Nelson</t>
        </is>
      </c>
      <c r="B809" t="inlineStr">
        <is>
          <t>Ethiopia</t>
        </is>
      </c>
      <c r="C809" t="inlineStr">
        <is>
          <t>ETH09</t>
        </is>
      </c>
      <c r="D809" t="n">
        <v>4</v>
      </c>
      <c r="E809" t="inlineStr">
        <is>
          <t>Infosec Co-Lead</t>
        </is>
      </c>
      <c r="F809">
        <f>SUMIF($A$2:$A$1594,A809,$D$2:$D$1594)</f>
        <v/>
      </c>
    </row>
    <row r="810">
      <c r="A810" t="inlineStr">
        <is>
          <t>Ogana, Nelson</t>
        </is>
      </c>
      <c r="B810" t="inlineStr">
        <is>
          <t>Ethiopia</t>
        </is>
      </c>
      <c r="C810" t="inlineStr">
        <is>
          <t>ETH10</t>
        </is>
      </c>
      <c r="D810" t="n">
        <v>4</v>
      </c>
      <c r="E810" t="inlineStr">
        <is>
          <t>Infosec Co-Lead</t>
        </is>
      </c>
      <c r="F810">
        <f>SUMIF($A$2:$A$1594,A810,$D$2:$D$1594)</f>
        <v/>
      </c>
    </row>
    <row r="811">
      <c r="A811" t="inlineStr">
        <is>
          <t>Ogana, Nelson</t>
        </is>
      </c>
      <c r="B811" t="inlineStr">
        <is>
          <t>Ethiopia</t>
        </is>
      </c>
      <c r="C811" t="inlineStr">
        <is>
          <t>ETH11</t>
        </is>
      </c>
      <c r="D811" t="n">
        <v>5</v>
      </c>
      <c r="E811" t="inlineStr">
        <is>
          <t>Infosec Co-Lead</t>
        </is>
      </c>
      <c r="F811">
        <f>SUMIF($A$2:$A$1594,A811,$D$2:$D$1594)</f>
        <v/>
      </c>
    </row>
    <row r="812">
      <c r="A812" t="inlineStr">
        <is>
          <t>Ogana, Nelson</t>
        </is>
      </c>
      <c r="B812" t="inlineStr">
        <is>
          <t>Ethiopia</t>
        </is>
      </c>
      <c r="C812" t="inlineStr">
        <is>
          <t>ETH12</t>
        </is>
      </c>
      <c r="D812" t="n">
        <v>5</v>
      </c>
      <c r="E812" t="inlineStr">
        <is>
          <t>Infosec Co-Lead</t>
        </is>
      </c>
      <c r="F812">
        <f>SUMIF($A$2:$A$1594,A812,$D$2:$D$1594)</f>
        <v/>
      </c>
    </row>
    <row r="813">
      <c r="A813" t="inlineStr">
        <is>
          <t>Ogana, Nelson</t>
        </is>
      </c>
      <c r="B813" t="inlineStr">
        <is>
          <t>Ethiopia</t>
        </is>
      </c>
      <c r="C813" t="inlineStr">
        <is>
          <t>ETH13</t>
        </is>
      </c>
      <c r="D813" t="n">
        <v>5</v>
      </c>
      <c r="E813" t="inlineStr">
        <is>
          <t>Infosec Co-Lead</t>
        </is>
      </c>
      <c r="F813">
        <f>SUMIF($A$2:$A$1594,A813,$D$2:$D$1594)</f>
        <v/>
      </c>
    </row>
    <row r="814">
      <c r="A814" t="inlineStr">
        <is>
          <t>Ogana, Nelson</t>
        </is>
      </c>
      <c r="B814" t="inlineStr">
        <is>
          <t>Ethiopia</t>
        </is>
      </c>
      <c r="C814" t="inlineStr">
        <is>
          <t>ETH14</t>
        </is>
      </c>
      <c r="D814" t="n">
        <v>5</v>
      </c>
      <c r="E814" t="inlineStr">
        <is>
          <t>Infosec Co-Lead</t>
        </is>
      </c>
      <c r="F814">
        <f>SUMIF($A$2:$A$1594,A814,$D$2:$D$1594)</f>
        <v/>
      </c>
    </row>
    <row r="815">
      <c r="A815" t="inlineStr">
        <is>
          <t>Showalter, Caitlin</t>
        </is>
      </c>
      <c r="B815" t="inlineStr">
        <is>
          <t>Ethiopia</t>
        </is>
      </c>
      <c r="C815" t="inlineStr">
        <is>
          <t>ETH01</t>
        </is>
      </c>
      <c r="D815" t="n">
        <v>4</v>
      </c>
      <c r="E815" t="inlineStr">
        <is>
          <t>M&amp;E and Learning</t>
        </is>
      </c>
      <c r="F815">
        <f>SUMIF($A$2:$A$1594,A815,$D$2:$D$1594)</f>
        <v/>
      </c>
    </row>
    <row r="816">
      <c r="A816" t="inlineStr">
        <is>
          <t>Showalter, Caitlin</t>
        </is>
      </c>
      <c r="B816" t="inlineStr">
        <is>
          <t>Ethiopia</t>
        </is>
      </c>
      <c r="C816" t="inlineStr">
        <is>
          <t>ETH02</t>
        </is>
      </c>
      <c r="D816" t="n">
        <v>4</v>
      </c>
      <c r="E816" t="inlineStr">
        <is>
          <t>M&amp;E and Learning</t>
        </is>
      </c>
      <c r="F816">
        <f>SUMIF($A$2:$A$1594,A816,$D$2:$D$1594)</f>
        <v/>
      </c>
    </row>
    <row r="817">
      <c r="A817" t="inlineStr">
        <is>
          <t>Showalter, Caitlin</t>
        </is>
      </c>
      <c r="B817" t="inlineStr">
        <is>
          <t>Ethiopia</t>
        </is>
      </c>
      <c r="C817" t="inlineStr">
        <is>
          <t>ETH03</t>
        </is>
      </c>
      <c r="D817" t="n">
        <v>4</v>
      </c>
      <c r="E817" t="inlineStr">
        <is>
          <t>M&amp;E and Learning</t>
        </is>
      </c>
      <c r="F817">
        <f>SUMIF($A$2:$A$1594,A817,$D$2:$D$1594)</f>
        <v/>
      </c>
    </row>
    <row r="818">
      <c r="A818" t="inlineStr">
        <is>
          <t>Showalter, Caitlin</t>
        </is>
      </c>
      <c r="B818" t="inlineStr">
        <is>
          <t>Ethiopia</t>
        </is>
      </c>
      <c r="C818" t="inlineStr">
        <is>
          <t>ETH04</t>
        </is>
      </c>
      <c r="D818" t="n">
        <v>4</v>
      </c>
      <c r="E818" t="inlineStr">
        <is>
          <t>M&amp;E and Learning</t>
        </is>
      </c>
      <c r="F818">
        <f>SUMIF($A$2:$A$1594,A818,$D$2:$D$1594)</f>
        <v/>
      </c>
    </row>
    <row r="819">
      <c r="A819" t="inlineStr">
        <is>
          <t>Showalter, Caitlin</t>
        </is>
      </c>
      <c r="B819" t="inlineStr">
        <is>
          <t>Ethiopia</t>
        </is>
      </c>
      <c r="C819" t="inlineStr">
        <is>
          <t>ETH05</t>
        </is>
      </c>
      <c r="D819" t="n">
        <v>4</v>
      </c>
      <c r="E819" t="inlineStr">
        <is>
          <t>M&amp;E and Learning</t>
        </is>
      </c>
      <c r="F819">
        <f>SUMIF($A$2:$A$1594,A819,$D$2:$D$1594)</f>
        <v/>
      </c>
    </row>
    <row r="820">
      <c r="A820" t="inlineStr">
        <is>
          <t>Showalter, Caitlin</t>
        </is>
      </c>
      <c r="B820" t="inlineStr">
        <is>
          <t>Ethiopia</t>
        </is>
      </c>
      <c r="C820" t="inlineStr">
        <is>
          <t>ETH06</t>
        </is>
      </c>
      <c r="D820" t="n">
        <v>4</v>
      </c>
      <c r="E820" t="inlineStr">
        <is>
          <t>M&amp;E and Learning</t>
        </is>
      </c>
      <c r="F820">
        <f>SUMIF($A$2:$A$1594,A820,$D$2:$D$1594)</f>
        <v/>
      </c>
    </row>
    <row r="821">
      <c r="A821" t="inlineStr">
        <is>
          <t>Showalter, Caitlin</t>
        </is>
      </c>
      <c r="B821" t="inlineStr">
        <is>
          <t>Ethiopia</t>
        </is>
      </c>
      <c r="C821" t="inlineStr">
        <is>
          <t>ETH07</t>
        </is>
      </c>
      <c r="D821" t="n">
        <v>4</v>
      </c>
      <c r="E821" t="inlineStr">
        <is>
          <t>M&amp;E and Learning</t>
        </is>
      </c>
      <c r="F821">
        <f>SUMIF($A$2:$A$1594,A821,$D$2:$D$1594)</f>
        <v/>
      </c>
    </row>
    <row r="822">
      <c r="A822" t="inlineStr">
        <is>
          <t>Showalter, Caitlin</t>
        </is>
      </c>
      <c r="B822" t="inlineStr">
        <is>
          <t>Ethiopia</t>
        </is>
      </c>
      <c r="C822" t="inlineStr">
        <is>
          <t>ETH08</t>
        </is>
      </c>
      <c r="D822" t="n">
        <v>4</v>
      </c>
      <c r="E822" t="inlineStr">
        <is>
          <t>M&amp;E and Learning</t>
        </is>
      </c>
      <c r="F822">
        <f>SUMIF($A$2:$A$1594,A822,$D$2:$D$1594)</f>
        <v/>
      </c>
    </row>
    <row r="823">
      <c r="A823" t="inlineStr">
        <is>
          <t>Showalter, Caitlin</t>
        </is>
      </c>
      <c r="B823" t="inlineStr">
        <is>
          <t>Ethiopia</t>
        </is>
      </c>
      <c r="C823" t="inlineStr">
        <is>
          <t>ETH09</t>
        </is>
      </c>
      <c r="D823" t="n">
        <v>4</v>
      </c>
      <c r="E823" t="inlineStr">
        <is>
          <t>M&amp;E and Learning</t>
        </is>
      </c>
      <c r="F823">
        <f>SUMIF($A$2:$A$1594,A823,$D$2:$D$1594)</f>
        <v/>
      </c>
    </row>
    <row r="824">
      <c r="A824" t="inlineStr">
        <is>
          <t>Showalter, Caitlin</t>
        </is>
      </c>
      <c r="B824" t="inlineStr">
        <is>
          <t>Ethiopia</t>
        </is>
      </c>
      <c r="C824" t="inlineStr">
        <is>
          <t>ETH10</t>
        </is>
      </c>
      <c r="D824" t="n">
        <v>4</v>
      </c>
      <c r="E824" t="inlineStr">
        <is>
          <t>M&amp;E and Learning</t>
        </is>
      </c>
      <c r="F824">
        <f>SUMIF($A$2:$A$1594,A824,$D$2:$D$1594)</f>
        <v/>
      </c>
    </row>
    <row r="825">
      <c r="A825" t="inlineStr">
        <is>
          <t>Showalter, Caitlin</t>
        </is>
      </c>
      <c r="B825" t="inlineStr">
        <is>
          <t>Ethiopia</t>
        </is>
      </c>
      <c r="C825" t="inlineStr">
        <is>
          <t>ETH11</t>
        </is>
      </c>
      <c r="D825" t="n">
        <v>5</v>
      </c>
      <c r="E825" t="inlineStr">
        <is>
          <t>M&amp;E and Learning</t>
        </is>
      </c>
      <c r="F825">
        <f>SUMIF($A$2:$A$1594,A825,$D$2:$D$1594)</f>
        <v/>
      </c>
    </row>
    <row r="826">
      <c r="A826" t="inlineStr">
        <is>
          <t>Showalter, Caitlin</t>
        </is>
      </c>
      <c r="B826" t="inlineStr">
        <is>
          <t>Ethiopia</t>
        </is>
      </c>
      <c r="C826" t="inlineStr">
        <is>
          <t>ETH12</t>
        </is>
      </c>
      <c r="D826" t="n">
        <v>5</v>
      </c>
      <c r="E826" t="inlineStr">
        <is>
          <t>M&amp;E and Learning</t>
        </is>
      </c>
      <c r="F826">
        <f>SUMIF($A$2:$A$1594,A826,$D$2:$D$1594)</f>
        <v/>
      </c>
    </row>
    <row r="827">
      <c r="A827" t="inlineStr">
        <is>
          <t>Showalter, Caitlin</t>
        </is>
      </c>
      <c r="B827" t="inlineStr">
        <is>
          <t>Ethiopia</t>
        </is>
      </c>
      <c r="C827" t="inlineStr">
        <is>
          <t>ETH13</t>
        </is>
      </c>
      <c r="D827" t="n">
        <v>5</v>
      </c>
      <c r="E827" t="inlineStr">
        <is>
          <t>M&amp;E and Learning</t>
        </is>
      </c>
      <c r="F827">
        <f>SUMIF($A$2:$A$1594,A827,$D$2:$D$1594)</f>
        <v/>
      </c>
    </row>
    <row r="828">
      <c r="A828" t="inlineStr">
        <is>
          <t>Showalter, Caitlin</t>
        </is>
      </c>
      <c r="B828" t="inlineStr">
        <is>
          <t>Ethiopia</t>
        </is>
      </c>
      <c r="C828" t="inlineStr">
        <is>
          <t>ETH14</t>
        </is>
      </c>
      <c r="D828" t="n">
        <v>5</v>
      </c>
      <c r="E828" t="inlineStr">
        <is>
          <t>M&amp;E and Learning</t>
        </is>
      </c>
      <c r="F828">
        <f>SUMIF($A$2:$A$1594,A828,$D$2:$D$1594)</f>
        <v/>
      </c>
    </row>
    <row r="829">
      <c r="A829" t="inlineStr">
        <is>
          <t>Miranda Rondon de Ro, Ing</t>
        </is>
      </c>
      <c r="B829" t="inlineStr">
        <is>
          <t>Ethiopia</t>
        </is>
      </c>
      <c r="C829" t="inlineStr">
        <is>
          <t>ETH01</t>
        </is>
      </c>
      <c r="D829" t="n">
        <v>4</v>
      </c>
      <c r="E829" t="inlineStr">
        <is>
          <t>M&amp;E and Learning</t>
        </is>
      </c>
      <c r="F829">
        <f>SUMIF($A$2:$A$1594,A829,$D$2:$D$1594)</f>
        <v/>
      </c>
    </row>
    <row r="830">
      <c r="A830" t="inlineStr">
        <is>
          <t>Miranda Rondon de Ro, Ing</t>
        </is>
      </c>
      <c r="B830" t="inlineStr">
        <is>
          <t>Ethiopia</t>
        </is>
      </c>
      <c r="C830" t="inlineStr">
        <is>
          <t>ETH02</t>
        </is>
      </c>
      <c r="D830" t="n">
        <v>4</v>
      </c>
      <c r="E830" t="inlineStr">
        <is>
          <t>M&amp;E and Learning</t>
        </is>
      </c>
      <c r="F830">
        <f>SUMIF($A$2:$A$1594,A830,$D$2:$D$1594)</f>
        <v/>
      </c>
    </row>
    <row r="831">
      <c r="A831" t="inlineStr">
        <is>
          <t>Miranda Rondon de Ro, Ing</t>
        </is>
      </c>
      <c r="B831" t="inlineStr">
        <is>
          <t>Ethiopia</t>
        </is>
      </c>
      <c r="C831" t="inlineStr">
        <is>
          <t>ETH03</t>
        </is>
      </c>
      <c r="D831" t="n">
        <v>4</v>
      </c>
      <c r="E831" t="inlineStr">
        <is>
          <t>M&amp;E and Learning</t>
        </is>
      </c>
      <c r="F831">
        <f>SUMIF($A$2:$A$1594,A831,$D$2:$D$1594)</f>
        <v/>
      </c>
    </row>
    <row r="832">
      <c r="A832" t="inlineStr">
        <is>
          <t>Miranda Rondon de Ro, Ing</t>
        </is>
      </c>
      <c r="B832" t="inlineStr">
        <is>
          <t>Ethiopia</t>
        </is>
      </c>
      <c r="C832" t="inlineStr">
        <is>
          <t>ETH04</t>
        </is>
      </c>
      <c r="D832" t="n">
        <v>4</v>
      </c>
      <c r="E832" t="inlineStr">
        <is>
          <t>M&amp;E and Learning</t>
        </is>
      </c>
      <c r="F832">
        <f>SUMIF($A$2:$A$1594,A832,$D$2:$D$1594)</f>
        <v/>
      </c>
    </row>
    <row r="833">
      <c r="A833" t="inlineStr">
        <is>
          <t>Miranda Rondon de Ro, Ing</t>
        </is>
      </c>
      <c r="B833" t="inlineStr">
        <is>
          <t>Ethiopia</t>
        </is>
      </c>
      <c r="C833" t="inlineStr">
        <is>
          <t>ETH05</t>
        </is>
      </c>
      <c r="D833" t="n">
        <v>4</v>
      </c>
      <c r="E833" t="inlineStr">
        <is>
          <t>M&amp;E and Learning</t>
        </is>
      </c>
      <c r="F833">
        <f>SUMIF($A$2:$A$1594,A833,$D$2:$D$1594)</f>
        <v/>
      </c>
    </row>
    <row r="834">
      <c r="A834" t="inlineStr">
        <is>
          <t>Miranda Rondon de Ro, Ing</t>
        </is>
      </c>
      <c r="B834" t="inlineStr">
        <is>
          <t>Ethiopia</t>
        </is>
      </c>
      <c r="C834" t="inlineStr">
        <is>
          <t>ETH06</t>
        </is>
      </c>
      <c r="D834" t="n">
        <v>4</v>
      </c>
      <c r="E834" t="inlineStr">
        <is>
          <t>M&amp;E and Learning</t>
        </is>
      </c>
      <c r="F834">
        <f>SUMIF($A$2:$A$1594,A834,$D$2:$D$1594)</f>
        <v/>
      </c>
    </row>
    <row r="835">
      <c r="A835" t="inlineStr">
        <is>
          <t>Miranda Rondon de Ro, Ing</t>
        </is>
      </c>
      <c r="B835" t="inlineStr">
        <is>
          <t>Ethiopia</t>
        </is>
      </c>
      <c r="C835" t="inlineStr">
        <is>
          <t>ETH07</t>
        </is>
      </c>
      <c r="D835" t="n">
        <v>4</v>
      </c>
      <c r="E835" t="inlineStr">
        <is>
          <t>M&amp;E and Learning</t>
        </is>
      </c>
      <c r="F835">
        <f>SUMIF($A$2:$A$1594,A835,$D$2:$D$1594)</f>
        <v/>
      </c>
    </row>
    <row r="836">
      <c r="A836" t="inlineStr">
        <is>
          <t>Miranda Rondon de Ro, Ing</t>
        </is>
      </c>
      <c r="B836" t="inlineStr">
        <is>
          <t>Ethiopia</t>
        </is>
      </c>
      <c r="C836" t="inlineStr">
        <is>
          <t>ETH08</t>
        </is>
      </c>
      <c r="D836" t="n">
        <v>4</v>
      </c>
      <c r="E836" t="inlineStr">
        <is>
          <t>M&amp;E and Learning</t>
        </is>
      </c>
      <c r="F836">
        <f>SUMIF($A$2:$A$1594,A836,$D$2:$D$1594)</f>
        <v/>
      </c>
    </row>
    <row r="837">
      <c r="A837" t="inlineStr">
        <is>
          <t>Miranda Rondon de Ro, Ing</t>
        </is>
      </c>
      <c r="B837" t="inlineStr">
        <is>
          <t>Ethiopia</t>
        </is>
      </c>
      <c r="C837" t="inlineStr">
        <is>
          <t>ETH09</t>
        </is>
      </c>
      <c r="D837" t="n">
        <v>4</v>
      </c>
      <c r="E837" t="inlineStr">
        <is>
          <t>M&amp;E and Learning</t>
        </is>
      </c>
      <c r="F837">
        <f>SUMIF($A$2:$A$1594,A837,$D$2:$D$1594)</f>
        <v/>
      </c>
    </row>
    <row r="838">
      <c r="A838" t="inlineStr">
        <is>
          <t>Miranda Rondon de Ro, Ing</t>
        </is>
      </c>
      <c r="B838" t="inlineStr">
        <is>
          <t>Ethiopia</t>
        </is>
      </c>
      <c r="C838" t="inlineStr">
        <is>
          <t>ETH10</t>
        </is>
      </c>
      <c r="D838" t="n">
        <v>4</v>
      </c>
      <c r="E838" t="inlineStr">
        <is>
          <t>M&amp;E and Learning</t>
        </is>
      </c>
      <c r="F838">
        <f>SUMIF($A$2:$A$1594,A838,$D$2:$D$1594)</f>
        <v/>
      </c>
    </row>
    <row r="839">
      <c r="A839" t="inlineStr">
        <is>
          <t>Miranda Rondon de Ro, Ing</t>
        </is>
      </c>
      <c r="B839" t="inlineStr">
        <is>
          <t>Ethiopia</t>
        </is>
      </c>
      <c r="C839" t="inlineStr">
        <is>
          <t>ETH11</t>
        </is>
      </c>
      <c r="D839" t="n">
        <v>5</v>
      </c>
      <c r="E839" t="inlineStr">
        <is>
          <t>M&amp;E and Learning</t>
        </is>
      </c>
      <c r="F839">
        <f>SUMIF($A$2:$A$1594,A839,$D$2:$D$1594)</f>
        <v/>
      </c>
    </row>
    <row r="840">
      <c r="A840" t="inlineStr">
        <is>
          <t>Miranda Rondon de Ro, Ing</t>
        </is>
      </c>
      <c r="B840" t="inlineStr">
        <is>
          <t>Ethiopia</t>
        </is>
      </c>
      <c r="C840" t="inlineStr">
        <is>
          <t>ETH12</t>
        </is>
      </c>
      <c r="D840" t="n">
        <v>5</v>
      </c>
      <c r="E840" t="inlineStr">
        <is>
          <t>M&amp;E and Learning</t>
        </is>
      </c>
      <c r="F840">
        <f>SUMIF($A$2:$A$1594,A840,$D$2:$D$1594)</f>
        <v/>
      </c>
    </row>
    <row r="841">
      <c r="A841" t="inlineStr">
        <is>
          <t>Miranda Rondon de Ro, Ing</t>
        </is>
      </c>
      <c r="B841" t="inlineStr">
        <is>
          <t>Ethiopia</t>
        </is>
      </c>
      <c r="C841" t="inlineStr">
        <is>
          <t>ETH13</t>
        </is>
      </c>
      <c r="D841" t="n">
        <v>5</v>
      </c>
      <c r="E841" t="inlineStr">
        <is>
          <t>M&amp;E and Learning</t>
        </is>
      </c>
      <c r="F841">
        <f>SUMIF($A$2:$A$1594,A841,$D$2:$D$1594)</f>
        <v/>
      </c>
    </row>
    <row r="842">
      <c r="A842" t="inlineStr">
        <is>
          <t>Miranda Rondon de Ro, Ing</t>
        </is>
      </c>
      <c r="B842" t="inlineStr">
        <is>
          <t>Ethiopia</t>
        </is>
      </c>
      <c r="C842" t="inlineStr">
        <is>
          <t>ETH14</t>
        </is>
      </c>
      <c r="D842" t="n">
        <v>5</v>
      </c>
      <c r="E842" t="inlineStr">
        <is>
          <t>M&amp;E and Learning</t>
        </is>
      </c>
      <c r="F842">
        <f>SUMIF($A$2:$A$1594,A842,$D$2:$D$1594)</f>
        <v/>
      </c>
    </row>
    <row r="843">
      <c r="A843" t="inlineStr">
        <is>
          <t>Sakaguchi, Kevin</t>
        </is>
      </c>
      <c r="B843" t="inlineStr">
        <is>
          <t>Ethiopia</t>
        </is>
      </c>
      <c r="C843" t="inlineStr">
        <is>
          <t>ETH01</t>
        </is>
      </c>
      <c r="D843" t="n">
        <v>4</v>
      </c>
      <c r="E843" t="inlineStr">
        <is>
          <t>M&amp;E and Learning</t>
        </is>
      </c>
      <c r="F843">
        <f>SUMIF($A$2:$A$1594,A843,$D$2:$D$1594)</f>
        <v/>
      </c>
    </row>
    <row r="844">
      <c r="A844" t="inlineStr">
        <is>
          <t>Sakaguchi, Kevin</t>
        </is>
      </c>
      <c r="B844" t="inlineStr">
        <is>
          <t>Ethiopia</t>
        </is>
      </c>
      <c r="C844" t="inlineStr">
        <is>
          <t>ETH02</t>
        </is>
      </c>
      <c r="D844" t="n">
        <v>4</v>
      </c>
      <c r="E844" t="inlineStr">
        <is>
          <t>M&amp;E and Learning</t>
        </is>
      </c>
      <c r="F844">
        <f>SUMIF($A$2:$A$1594,A844,$D$2:$D$1594)</f>
        <v/>
      </c>
    </row>
    <row r="845">
      <c r="A845" t="inlineStr">
        <is>
          <t>Sakaguchi, Kevin</t>
        </is>
      </c>
      <c r="B845" t="inlineStr">
        <is>
          <t>Ethiopia</t>
        </is>
      </c>
      <c r="C845" t="inlineStr">
        <is>
          <t>ETH03</t>
        </is>
      </c>
      <c r="D845" t="n">
        <v>4</v>
      </c>
      <c r="E845" t="inlineStr">
        <is>
          <t>M&amp;E and Learning</t>
        </is>
      </c>
      <c r="F845">
        <f>SUMIF($A$2:$A$1594,A845,$D$2:$D$1594)</f>
        <v/>
      </c>
    </row>
    <row r="846">
      <c r="A846" t="inlineStr">
        <is>
          <t>Sakaguchi, Kevin</t>
        </is>
      </c>
      <c r="B846" t="inlineStr">
        <is>
          <t>Ethiopia</t>
        </is>
      </c>
      <c r="C846" t="inlineStr">
        <is>
          <t>ETH04</t>
        </is>
      </c>
      <c r="D846" t="n">
        <v>4</v>
      </c>
      <c r="E846" t="inlineStr">
        <is>
          <t>M&amp;E and Learning</t>
        </is>
      </c>
      <c r="F846">
        <f>SUMIF($A$2:$A$1594,A846,$D$2:$D$1594)</f>
        <v/>
      </c>
    </row>
    <row r="847">
      <c r="A847" t="inlineStr">
        <is>
          <t>Sakaguchi, Kevin</t>
        </is>
      </c>
      <c r="B847" t="inlineStr">
        <is>
          <t>Ethiopia</t>
        </is>
      </c>
      <c r="C847" t="inlineStr">
        <is>
          <t>ETH05</t>
        </is>
      </c>
      <c r="D847" t="n">
        <v>4</v>
      </c>
      <c r="E847" t="inlineStr">
        <is>
          <t>M&amp;E and Learning</t>
        </is>
      </c>
      <c r="F847">
        <f>SUMIF($A$2:$A$1594,A847,$D$2:$D$1594)</f>
        <v/>
      </c>
    </row>
    <row r="848">
      <c r="A848" t="inlineStr">
        <is>
          <t>Sakaguchi, Kevin</t>
        </is>
      </c>
      <c r="B848" t="inlineStr">
        <is>
          <t>Ethiopia</t>
        </is>
      </c>
      <c r="C848" t="inlineStr">
        <is>
          <t>ETH06</t>
        </is>
      </c>
      <c r="D848" t="n">
        <v>4</v>
      </c>
      <c r="E848" t="inlineStr">
        <is>
          <t>M&amp;E and Learning</t>
        </is>
      </c>
      <c r="F848">
        <f>SUMIF($A$2:$A$1594,A848,$D$2:$D$1594)</f>
        <v/>
      </c>
    </row>
    <row r="849">
      <c r="A849" t="inlineStr">
        <is>
          <t>Sakaguchi, Kevin</t>
        </is>
      </c>
      <c r="B849" t="inlineStr">
        <is>
          <t>Ethiopia</t>
        </is>
      </c>
      <c r="C849" t="inlineStr">
        <is>
          <t>ETH07</t>
        </is>
      </c>
      <c r="D849" t="n">
        <v>4</v>
      </c>
      <c r="E849" t="inlineStr">
        <is>
          <t>M&amp;E and Learning</t>
        </is>
      </c>
      <c r="F849">
        <f>SUMIF($A$2:$A$1594,A849,$D$2:$D$1594)</f>
        <v/>
      </c>
    </row>
    <row r="850">
      <c r="A850" t="inlineStr">
        <is>
          <t>Sakaguchi, Kevin</t>
        </is>
      </c>
      <c r="B850" t="inlineStr">
        <is>
          <t>Ethiopia</t>
        </is>
      </c>
      <c r="C850" t="inlineStr">
        <is>
          <t>ETH08</t>
        </is>
      </c>
      <c r="D850" t="n">
        <v>4</v>
      </c>
      <c r="E850" t="inlineStr">
        <is>
          <t>M&amp;E and Learning</t>
        </is>
      </c>
      <c r="F850">
        <f>SUMIF($A$2:$A$1594,A850,$D$2:$D$1594)</f>
        <v/>
      </c>
    </row>
    <row r="851">
      <c r="A851" t="inlineStr">
        <is>
          <t>Sakaguchi, Kevin</t>
        </is>
      </c>
      <c r="B851" t="inlineStr">
        <is>
          <t>Ethiopia</t>
        </is>
      </c>
      <c r="C851" t="inlineStr">
        <is>
          <t>ETH09</t>
        </is>
      </c>
      <c r="D851" t="n">
        <v>4</v>
      </c>
      <c r="E851" t="inlineStr">
        <is>
          <t>M&amp;E and Learning</t>
        </is>
      </c>
      <c r="F851">
        <f>SUMIF($A$2:$A$1594,A851,$D$2:$D$1594)</f>
        <v/>
      </c>
    </row>
    <row r="852">
      <c r="A852" t="inlineStr">
        <is>
          <t>Sakaguchi, Kevin</t>
        </is>
      </c>
      <c r="B852" t="inlineStr">
        <is>
          <t>Ethiopia</t>
        </is>
      </c>
      <c r="C852" t="inlineStr">
        <is>
          <t>ETH10</t>
        </is>
      </c>
      <c r="D852" t="n">
        <v>4</v>
      </c>
      <c r="E852" t="inlineStr">
        <is>
          <t>M&amp;E and Learning</t>
        </is>
      </c>
      <c r="F852">
        <f>SUMIF($A$2:$A$1594,A852,$D$2:$D$1594)</f>
        <v/>
      </c>
    </row>
    <row r="853">
      <c r="A853" t="inlineStr">
        <is>
          <t>Sakaguchi, Kevin</t>
        </is>
      </c>
      <c r="B853" t="inlineStr">
        <is>
          <t>Ethiopia</t>
        </is>
      </c>
      <c r="C853" t="inlineStr">
        <is>
          <t>ETH11</t>
        </is>
      </c>
      <c r="D853" t="n">
        <v>5</v>
      </c>
      <c r="E853" t="inlineStr">
        <is>
          <t>M&amp;E and Learning</t>
        </is>
      </c>
      <c r="F853">
        <f>SUMIF($A$2:$A$1594,A853,$D$2:$D$1594)</f>
        <v/>
      </c>
    </row>
    <row r="854">
      <c r="A854" t="inlineStr">
        <is>
          <t>Sakaguchi, Kevin</t>
        </is>
      </c>
      <c r="B854" t="inlineStr">
        <is>
          <t>Ethiopia</t>
        </is>
      </c>
      <c r="C854" t="inlineStr">
        <is>
          <t>ETH12</t>
        </is>
      </c>
      <c r="D854" t="n">
        <v>5</v>
      </c>
      <c r="E854" t="inlineStr">
        <is>
          <t>M&amp;E and Learning</t>
        </is>
      </c>
      <c r="F854">
        <f>SUMIF($A$2:$A$1594,A854,$D$2:$D$1594)</f>
        <v/>
      </c>
    </row>
    <row r="855">
      <c r="A855" t="inlineStr">
        <is>
          <t>Sakaguchi, Kevin</t>
        </is>
      </c>
      <c r="B855" t="inlineStr">
        <is>
          <t>Ethiopia</t>
        </is>
      </c>
      <c r="C855" t="inlineStr">
        <is>
          <t>ETH13</t>
        </is>
      </c>
      <c r="D855" t="n">
        <v>5</v>
      </c>
      <c r="E855" t="inlineStr">
        <is>
          <t>M&amp;E and Learning</t>
        </is>
      </c>
      <c r="F855">
        <f>SUMIF($A$2:$A$1594,A855,$D$2:$D$1594)</f>
        <v/>
      </c>
    </row>
    <row r="856">
      <c r="A856" t="inlineStr">
        <is>
          <t>Sakaguchi, Kevin</t>
        </is>
      </c>
      <c r="B856" t="inlineStr">
        <is>
          <t>Ethiopia</t>
        </is>
      </c>
      <c r="C856" t="inlineStr">
        <is>
          <t>ETH14</t>
        </is>
      </c>
      <c r="D856" t="n">
        <v>5</v>
      </c>
      <c r="E856" t="inlineStr">
        <is>
          <t>M&amp;E and Learning</t>
        </is>
      </c>
      <c r="F856">
        <f>SUMIF($A$2:$A$1594,A856,$D$2:$D$1594)</f>
        <v/>
      </c>
    </row>
    <row r="857">
      <c r="A857" t="inlineStr">
        <is>
          <t>Claussen, Laurence</t>
        </is>
      </c>
      <c r="B857" t="inlineStr">
        <is>
          <t>Ethiopia</t>
        </is>
      </c>
      <c r="C857" t="inlineStr">
        <is>
          <t>ETH01</t>
        </is>
      </c>
      <c r="D857" t="n">
        <v>4</v>
      </c>
      <c r="E857" t="inlineStr">
        <is>
          <t>Comms Manager</t>
        </is>
      </c>
      <c r="F857">
        <f>SUMIF($A$2:$A$1594,A857,$D$2:$D$1594)</f>
        <v/>
      </c>
    </row>
    <row r="858">
      <c r="A858" t="inlineStr">
        <is>
          <t>Claussen, Laurence</t>
        </is>
      </c>
      <c r="B858" t="inlineStr">
        <is>
          <t>Ethiopia</t>
        </is>
      </c>
      <c r="C858" t="inlineStr">
        <is>
          <t>ETH02</t>
        </is>
      </c>
      <c r="D858" t="n">
        <v>4</v>
      </c>
      <c r="E858" t="inlineStr">
        <is>
          <t>Comms Manager</t>
        </is>
      </c>
      <c r="F858">
        <f>SUMIF($A$2:$A$1594,A858,$D$2:$D$1594)</f>
        <v/>
      </c>
    </row>
    <row r="859">
      <c r="A859" t="inlineStr">
        <is>
          <t>Claussen, Laurence</t>
        </is>
      </c>
      <c r="B859" t="inlineStr">
        <is>
          <t>Ethiopia</t>
        </is>
      </c>
      <c r="C859" t="inlineStr">
        <is>
          <t>ETH03</t>
        </is>
      </c>
      <c r="D859" t="n">
        <v>4</v>
      </c>
      <c r="E859" t="inlineStr">
        <is>
          <t>Comms Manager</t>
        </is>
      </c>
      <c r="F859">
        <f>SUMIF($A$2:$A$1594,A859,$D$2:$D$1594)</f>
        <v/>
      </c>
    </row>
    <row r="860">
      <c r="A860" t="inlineStr">
        <is>
          <t>Claussen, Laurence</t>
        </is>
      </c>
      <c r="B860" t="inlineStr">
        <is>
          <t>Ethiopia</t>
        </is>
      </c>
      <c r="C860" t="inlineStr">
        <is>
          <t>ETH04</t>
        </is>
      </c>
      <c r="D860" t="n">
        <v>4</v>
      </c>
      <c r="E860" t="inlineStr">
        <is>
          <t>Comms Manager</t>
        </is>
      </c>
      <c r="F860">
        <f>SUMIF($A$2:$A$1594,A860,$D$2:$D$1594)</f>
        <v/>
      </c>
    </row>
    <row r="861">
      <c r="A861" t="inlineStr">
        <is>
          <t>Claussen, Laurence</t>
        </is>
      </c>
      <c r="B861" t="inlineStr">
        <is>
          <t>Ethiopia</t>
        </is>
      </c>
      <c r="C861" t="inlineStr">
        <is>
          <t>ETH05</t>
        </is>
      </c>
      <c r="D861" t="n">
        <v>4</v>
      </c>
      <c r="E861" t="inlineStr">
        <is>
          <t>Comms Manager</t>
        </is>
      </c>
      <c r="F861">
        <f>SUMIF($A$2:$A$1594,A861,$D$2:$D$1594)</f>
        <v/>
      </c>
    </row>
    <row r="862">
      <c r="A862" t="inlineStr">
        <is>
          <t>Claussen, Laurence</t>
        </is>
      </c>
      <c r="B862" t="inlineStr">
        <is>
          <t>Ethiopia</t>
        </is>
      </c>
      <c r="C862" t="inlineStr">
        <is>
          <t>ETH06</t>
        </is>
      </c>
      <c r="D862" t="n">
        <v>4</v>
      </c>
      <c r="E862" t="inlineStr">
        <is>
          <t>Comms Manager</t>
        </is>
      </c>
      <c r="F862">
        <f>SUMIF($A$2:$A$1594,A862,$D$2:$D$1594)</f>
        <v/>
      </c>
    </row>
    <row r="863">
      <c r="A863" t="inlineStr">
        <is>
          <t>Claussen, Laurence</t>
        </is>
      </c>
      <c r="B863" t="inlineStr">
        <is>
          <t>Ethiopia</t>
        </is>
      </c>
      <c r="C863" t="inlineStr">
        <is>
          <t>ETH07</t>
        </is>
      </c>
      <c r="D863" t="n">
        <v>4</v>
      </c>
      <c r="E863" t="inlineStr">
        <is>
          <t>Comms Manager</t>
        </is>
      </c>
      <c r="F863">
        <f>SUMIF($A$2:$A$1594,A863,$D$2:$D$1594)</f>
        <v/>
      </c>
    </row>
    <row r="864">
      <c r="A864" t="inlineStr">
        <is>
          <t>Claussen, Laurence</t>
        </is>
      </c>
      <c r="B864" t="inlineStr">
        <is>
          <t>Ethiopia</t>
        </is>
      </c>
      <c r="C864" t="inlineStr">
        <is>
          <t>ETH08</t>
        </is>
      </c>
      <c r="D864" t="n">
        <v>4</v>
      </c>
      <c r="E864" t="inlineStr">
        <is>
          <t>Comms Manager</t>
        </is>
      </c>
      <c r="F864">
        <f>SUMIF($A$2:$A$1594,A864,$D$2:$D$1594)</f>
        <v/>
      </c>
    </row>
    <row r="865">
      <c r="A865" t="inlineStr">
        <is>
          <t>Claussen, Laurence</t>
        </is>
      </c>
      <c r="B865" t="inlineStr">
        <is>
          <t>Ethiopia</t>
        </is>
      </c>
      <c r="C865" t="inlineStr">
        <is>
          <t>ETH09</t>
        </is>
      </c>
      <c r="D865" t="n">
        <v>4</v>
      </c>
      <c r="E865" t="inlineStr">
        <is>
          <t>Comms Manager</t>
        </is>
      </c>
      <c r="F865">
        <f>SUMIF($A$2:$A$1594,A865,$D$2:$D$1594)</f>
        <v/>
      </c>
    </row>
    <row r="866">
      <c r="A866" t="inlineStr">
        <is>
          <t>Claussen, Laurence</t>
        </is>
      </c>
      <c r="B866" t="inlineStr">
        <is>
          <t>Ethiopia</t>
        </is>
      </c>
      <c r="C866" t="inlineStr">
        <is>
          <t>ETH10</t>
        </is>
      </c>
      <c r="D866" t="n">
        <v>4</v>
      </c>
      <c r="E866" t="inlineStr">
        <is>
          <t>Comms Manager</t>
        </is>
      </c>
      <c r="F866">
        <f>SUMIF($A$2:$A$1594,A866,$D$2:$D$1594)</f>
        <v/>
      </c>
    </row>
    <row r="867">
      <c r="A867" t="inlineStr">
        <is>
          <t>Claussen, Laurence</t>
        </is>
      </c>
      <c r="B867" t="inlineStr">
        <is>
          <t>Ethiopia</t>
        </is>
      </c>
      <c r="C867" t="inlineStr">
        <is>
          <t>ETH11</t>
        </is>
      </c>
      <c r="D867" t="n">
        <v>5</v>
      </c>
      <c r="E867" t="inlineStr">
        <is>
          <t>Comms Manager</t>
        </is>
      </c>
      <c r="F867">
        <f>SUMIF($A$2:$A$1594,A867,$D$2:$D$1594)</f>
        <v/>
      </c>
    </row>
    <row r="868">
      <c r="A868" t="inlineStr">
        <is>
          <t>Claussen, Laurence</t>
        </is>
      </c>
      <c r="B868" t="inlineStr">
        <is>
          <t>Ethiopia</t>
        </is>
      </c>
      <c r="C868" t="inlineStr">
        <is>
          <t>ETH12</t>
        </is>
      </c>
      <c r="D868" t="n">
        <v>5</v>
      </c>
      <c r="E868" t="inlineStr">
        <is>
          <t>Comms Manager</t>
        </is>
      </c>
      <c r="F868">
        <f>SUMIF($A$2:$A$1594,A868,$D$2:$D$1594)</f>
        <v/>
      </c>
    </row>
    <row r="869">
      <c r="A869" t="inlineStr">
        <is>
          <t>Claussen, Laurence</t>
        </is>
      </c>
      <c r="B869" t="inlineStr">
        <is>
          <t>Ethiopia</t>
        </is>
      </c>
      <c r="C869" t="inlineStr">
        <is>
          <t>ETH13</t>
        </is>
      </c>
      <c r="D869" t="n">
        <v>5</v>
      </c>
      <c r="E869" t="inlineStr">
        <is>
          <t>Comms Manager</t>
        </is>
      </c>
      <c r="F869">
        <f>SUMIF($A$2:$A$1594,A869,$D$2:$D$1594)</f>
        <v/>
      </c>
    </row>
    <row r="870">
      <c r="A870" t="inlineStr">
        <is>
          <t>Claussen, Laurence</t>
        </is>
      </c>
      <c r="B870" t="inlineStr">
        <is>
          <t>Ethiopia</t>
        </is>
      </c>
      <c r="C870" t="inlineStr">
        <is>
          <t>ETH14</t>
        </is>
      </c>
      <c r="D870" t="n">
        <v>5</v>
      </c>
      <c r="E870" t="inlineStr">
        <is>
          <t>Comms Manager</t>
        </is>
      </c>
      <c r="F870">
        <f>SUMIF($A$2:$A$1594,A870,$D$2:$D$1594)</f>
        <v/>
      </c>
    </row>
    <row r="871">
      <c r="A871" t="inlineStr">
        <is>
          <t>Lopez, Brenda</t>
        </is>
      </c>
      <c r="B871" t="inlineStr">
        <is>
          <t>Ethiopia</t>
        </is>
      </c>
      <c r="C871" t="inlineStr">
        <is>
          <t>ETH01</t>
        </is>
      </c>
      <c r="D871" t="n">
        <v>16</v>
      </c>
      <c r="E871" t="inlineStr">
        <is>
          <t>Associate Pool</t>
        </is>
      </c>
      <c r="F871">
        <f>SUMIF($A$2:$A$1594,A871,$D$2:$D$1594)</f>
        <v/>
      </c>
    </row>
    <row r="872">
      <c r="A872" t="inlineStr">
        <is>
          <t>Lopez, Brenda</t>
        </is>
      </c>
      <c r="B872" t="inlineStr">
        <is>
          <t>Ethiopia</t>
        </is>
      </c>
      <c r="C872" t="inlineStr">
        <is>
          <t>ETH02</t>
        </is>
      </c>
      <c r="D872" t="n">
        <v>16</v>
      </c>
      <c r="E872" t="inlineStr">
        <is>
          <t>Associate Pool</t>
        </is>
      </c>
      <c r="F872">
        <f>SUMIF($A$2:$A$1594,A872,$D$2:$D$1594)</f>
        <v/>
      </c>
    </row>
    <row r="873">
      <c r="A873" t="inlineStr">
        <is>
          <t>Lopez, Brenda</t>
        </is>
      </c>
      <c r="B873" t="inlineStr">
        <is>
          <t>Ethiopia</t>
        </is>
      </c>
      <c r="C873" t="inlineStr">
        <is>
          <t>ETH03</t>
        </is>
      </c>
      <c r="D873" t="n">
        <v>16</v>
      </c>
      <c r="E873" t="inlineStr">
        <is>
          <t>Associate Pool</t>
        </is>
      </c>
      <c r="F873">
        <f>SUMIF($A$2:$A$1594,A873,$D$2:$D$1594)</f>
        <v/>
      </c>
    </row>
    <row r="874">
      <c r="A874" t="inlineStr">
        <is>
          <t>Lopez, Brenda</t>
        </is>
      </c>
      <c r="B874" t="inlineStr">
        <is>
          <t>Ethiopia</t>
        </is>
      </c>
      <c r="C874" t="inlineStr">
        <is>
          <t>ETH04</t>
        </is>
      </c>
      <c r="D874" t="n">
        <v>16</v>
      </c>
      <c r="E874" t="inlineStr">
        <is>
          <t>Associate Pool</t>
        </is>
      </c>
      <c r="F874">
        <f>SUMIF($A$2:$A$1594,A874,$D$2:$D$1594)</f>
        <v/>
      </c>
    </row>
    <row r="875">
      <c r="A875" t="inlineStr">
        <is>
          <t>Lopez, Brenda</t>
        </is>
      </c>
      <c r="B875" t="inlineStr">
        <is>
          <t>Ethiopia</t>
        </is>
      </c>
      <c r="C875" t="inlineStr">
        <is>
          <t>ETH05</t>
        </is>
      </c>
      <c r="D875" t="n">
        <v>16</v>
      </c>
      <c r="E875" t="inlineStr">
        <is>
          <t>Associate Pool</t>
        </is>
      </c>
      <c r="F875">
        <f>SUMIF($A$2:$A$1594,A875,$D$2:$D$1594)</f>
        <v/>
      </c>
    </row>
    <row r="876">
      <c r="A876" t="inlineStr">
        <is>
          <t>Lopez, Brenda</t>
        </is>
      </c>
      <c r="B876" t="inlineStr">
        <is>
          <t>Ethiopia</t>
        </is>
      </c>
      <c r="C876" t="inlineStr">
        <is>
          <t>ETH06</t>
        </is>
      </c>
      <c r="D876" t="n">
        <v>17</v>
      </c>
      <c r="E876" t="inlineStr">
        <is>
          <t>Associate Pool</t>
        </is>
      </c>
      <c r="F876">
        <f>SUMIF($A$2:$A$1594,A876,$D$2:$D$1594)</f>
        <v/>
      </c>
    </row>
    <row r="877">
      <c r="A877" t="inlineStr">
        <is>
          <t>Lopez, Brenda</t>
        </is>
      </c>
      <c r="B877" t="inlineStr">
        <is>
          <t>Ethiopia</t>
        </is>
      </c>
      <c r="C877" t="inlineStr">
        <is>
          <t>ETH07</t>
        </is>
      </c>
      <c r="D877" t="n">
        <v>17</v>
      </c>
      <c r="E877" t="inlineStr">
        <is>
          <t>Associate Pool</t>
        </is>
      </c>
      <c r="F877">
        <f>SUMIF($A$2:$A$1594,A877,$D$2:$D$1594)</f>
        <v/>
      </c>
    </row>
    <row r="878">
      <c r="A878" t="inlineStr">
        <is>
          <t>Lopez, Brenda</t>
        </is>
      </c>
      <c r="B878" t="inlineStr">
        <is>
          <t>Ethiopia</t>
        </is>
      </c>
      <c r="C878" t="inlineStr">
        <is>
          <t>ETH08</t>
        </is>
      </c>
      <c r="D878" t="n">
        <v>17</v>
      </c>
      <c r="E878" t="inlineStr">
        <is>
          <t>Associate Pool</t>
        </is>
      </c>
      <c r="F878">
        <f>SUMIF($A$2:$A$1594,A878,$D$2:$D$1594)</f>
        <v/>
      </c>
    </row>
    <row r="879">
      <c r="A879" t="inlineStr">
        <is>
          <t>Lopez, Brenda</t>
        </is>
      </c>
      <c r="B879" t="inlineStr">
        <is>
          <t>Ethiopia</t>
        </is>
      </c>
      <c r="C879" t="inlineStr">
        <is>
          <t>ETH09</t>
        </is>
      </c>
      <c r="D879" t="n">
        <v>16</v>
      </c>
      <c r="E879" t="inlineStr">
        <is>
          <t>Associate Pool</t>
        </is>
      </c>
      <c r="F879">
        <f>SUMIF($A$2:$A$1594,A879,$D$2:$D$1594)</f>
        <v/>
      </c>
    </row>
    <row r="880">
      <c r="A880" t="inlineStr">
        <is>
          <t>Lopez, Brenda</t>
        </is>
      </c>
      <c r="B880" t="inlineStr">
        <is>
          <t>Ethiopia</t>
        </is>
      </c>
      <c r="C880" t="inlineStr">
        <is>
          <t>ETH10</t>
        </is>
      </c>
      <c r="D880" t="n">
        <v>16</v>
      </c>
      <c r="E880" t="inlineStr">
        <is>
          <t>Associate Pool</t>
        </is>
      </c>
      <c r="F880">
        <f>SUMIF($A$2:$A$1594,A880,$D$2:$D$1594)</f>
        <v/>
      </c>
    </row>
    <row r="881">
      <c r="A881" t="inlineStr">
        <is>
          <t>Lopez, Brenda</t>
        </is>
      </c>
      <c r="B881" t="inlineStr">
        <is>
          <t>Ethiopia</t>
        </is>
      </c>
      <c r="C881" t="inlineStr">
        <is>
          <t>ETH11</t>
        </is>
      </c>
      <c r="D881" t="n">
        <v>16</v>
      </c>
      <c r="E881" t="inlineStr">
        <is>
          <t>Associate Pool</t>
        </is>
      </c>
      <c r="F881">
        <f>SUMIF($A$2:$A$1594,A881,$D$2:$D$1594)</f>
        <v/>
      </c>
    </row>
    <row r="882">
      <c r="A882" t="inlineStr">
        <is>
          <t>Lopez, Brenda</t>
        </is>
      </c>
      <c r="B882" t="inlineStr">
        <is>
          <t>Ethiopia</t>
        </is>
      </c>
      <c r="C882" t="inlineStr">
        <is>
          <t>ETH12</t>
        </is>
      </c>
      <c r="D882" t="n">
        <v>17</v>
      </c>
      <c r="E882" t="inlineStr">
        <is>
          <t>Associate Pool</t>
        </is>
      </c>
      <c r="F882">
        <f>SUMIF($A$2:$A$1594,A882,$D$2:$D$1594)</f>
        <v/>
      </c>
    </row>
    <row r="883">
      <c r="A883" t="inlineStr">
        <is>
          <t>Lopez, Brenda</t>
        </is>
      </c>
      <c r="B883" t="inlineStr">
        <is>
          <t>Ethiopia</t>
        </is>
      </c>
      <c r="C883" t="inlineStr">
        <is>
          <t>ETH13</t>
        </is>
      </c>
      <c r="D883" t="n">
        <v>17</v>
      </c>
      <c r="E883" t="inlineStr">
        <is>
          <t>Associate Pool</t>
        </is>
      </c>
      <c r="F883">
        <f>SUMIF($A$2:$A$1594,A883,$D$2:$D$1594)</f>
        <v/>
      </c>
    </row>
    <row r="884">
      <c r="A884" t="inlineStr">
        <is>
          <t>Lopez, Brenda</t>
        </is>
      </c>
      <c r="B884" t="inlineStr">
        <is>
          <t>Ethiopia</t>
        </is>
      </c>
      <c r="C884" t="inlineStr">
        <is>
          <t>ETH14</t>
        </is>
      </c>
      <c r="D884" t="n">
        <v>17</v>
      </c>
      <c r="E884" t="inlineStr">
        <is>
          <t>Associate Pool</t>
        </is>
      </c>
      <c r="F884">
        <f>SUMIF($A$2:$A$1594,A884,$D$2:$D$1594)</f>
        <v/>
      </c>
    </row>
    <row r="885">
      <c r="A885" t="inlineStr">
        <is>
          <t>Mathias, John</t>
        </is>
      </c>
      <c r="B885" t="inlineStr">
        <is>
          <t>Ethiopia</t>
        </is>
      </c>
      <c r="C885" t="inlineStr">
        <is>
          <t>ETH01</t>
        </is>
      </c>
      <c r="D885" t="n">
        <v>4</v>
      </c>
      <c r="E885" t="inlineStr">
        <is>
          <t>Operations Director</t>
        </is>
      </c>
      <c r="F885">
        <f>SUMIF($A$2:$A$1594,A885,$D$2:$D$1594)</f>
        <v/>
      </c>
    </row>
    <row r="886">
      <c r="A886" t="inlineStr">
        <is>
          <t>Mathias, John</t>
        </is>
      </c>
      <c r="B886" t="inlineStr">
        <is>
          <t>Ethiopia</t>
        </is>
      </c>
      <c r="C886" t="inlineStr">
        <is>
          <t>ETH02</t>
        </is>
      </c>
      <c r="D886" t="n">
        <v>4</v>
      </c>
      <c r="E886" t="inlineStr">
        <is>
          <t>Operations Director</t>
        </is>
      </c>
      <c r="F886">
        <f>SUMIF($A$2:$A$1594,A886,$D$2:$D$1594)</f>
        <v/>
      </c>
    </row>
    <row r="887">
      <c r="A887" t="inlineStr">
        <is>
          <t>Mathias, John</t>
        </is>
      </c>
      <c r="B887" t="inlineStr">
        <is>
          <t>Ethiopia</t>
        </is>
      </c>
      <c r="C887" t="inlineStr">
        <is>
          <t>ETH03</t>
        </is>
      </c>
      <c r="D887" t="n">
        <v>4</v>
      </c>
      <c r="E887" t="inlineStr">
        <is>
          <t>Operations Director</t>
        </is>
      </c>
      <c r="F887">
        <f>SUMIF($A$2:$A$1594,A887,$D$2:$D$1594)</f>
        <v/>
      </c>
    </row>
    <row r="888">
      <c r="A888" t="inlineStr">
        <is>
          <t>Mathias, John</t>
        </is>
      </c>
      <c r="B888" t="inlineStr">
        <is>
          <t>Ethiopia</t>
        </is>
      </c>
      <c r="C888" t="inlineStr">
        <is>
          <t>ETH04</t>
        </is>
      </c>
      <c r="D888" t="n">
        <v>4</v>
      </c>
      <c r="E888" t="inlineStr">
        <is>
          <t>Operations Director</t>
        </is>
      </c>
      <c r="F888">
        <f>SUMIF($A$2:$A$1594,A888,$D$2:$D$1594)</f>
        <v/>
      </c>
    </row>
    <row r="889">
      <c r="A889" t="inlineStr">
        <is>
          <t>Mathias, John</t>
        </is>
      </c>
      <c r="B889" t="inlineStr">
        <is>
          <t>Ethiopia</t>
        </is>
      </c>
      <c r="C889" t="inlineStr">
        <is>
          <t>ETH05</t>
        </is>
      </c>
      <c r="D889" t="n">
        <v>4</v>
      </c>
      <c r="E889" t="inlineStr">
        <is>
          <t>Operations Director</t>
        </is>
      </c>
      <c r="F889">
        <f>SUMIF($A$2:$A$1594,A889,$D$2:$D$1594)</f>
        <v/>
      </c>
    </row>
    <row r="890">
      <c r="A890" t="inlineStr">
        <is>
          <t>Mathias, John</t>
        </is>
      </c>
      <c r="B890" t="inlineStr">
        <is>
          <t>Ethiopia</t>
        </is>
      </c>
      <c r="C890" t="inlineStr">
        <is>
          <t>ETH06</t>
        </is>
      </c>
      <c r="D890" t="n">
        <v>4</v>
      </c>
      <c r="E890" t="inlineStr">
        <is>
          <t>Operations Director</t>
        </is>
      </c>
      <c r="F890">
        <f>SUMIF($A$2:$A$1594,A890,$D$2:$D$1594)</f>
        <v/>
      </c>
    </row>
    <row r="891">
      <c r="A891" t="inlineStr">
        <is>
          <t>Mathias, John</t>
        </is>
      </c>
      <c r="B891" t="inlineStr">
        <is>
          <t>Ethiopia</t>
        </is>
      </c>
      <c r="C891" t="inlineStr">
        <is>
          <t>ETH07</t>
        </is>
      </c>
      <c r="D891" t="n">
        <v>4</v>
      </c>
      <c r="E891" t="inlineStr">
        <is>
          <t>Operations Director</t>
        </is>
      </c>
      <c r="F891">
        <f>SUMIF($A$2:$A$1594,A891,$D$2:$D$1594)</f>
        <v/>
      </c>
    </row>
    <row r="892">
      <c r="A892" t="inlineStr">
        <is>
          <t>Mathias, John</t>
        </is>
      </c>
      <c r="B892" t="inlineStr">
        <is>
          <t>Ethiopia</t>
        </is>
      </c>
      <c r="C892" t="inlineStr">
        <is>
          <t>ETH08</t>
        </is>
      </c>
      <c r="D892" t="n">
        <v>4</v>
      </c>
      <c r="E892" t="inlineStr">
        <is>
          <t>Operations Director</t>
        </is>
      </c>
      <c r="F892">
        <f>SUMIF($A$2:$A$1594,A892,$D$2:$D$1594)</f>
        <v/>
      </c>
    </row>
    <row r="893">
      <c r="A893" t="inlineStr">
        <is>
          <t>Mathias, John</t>
        </is>
      </c>
      <c r="B893" t="inlineStr">
        <is>
          <t>Ethiopia</t>
        </is>
      </c>
      <c r="C893" t="inlineStr">
        <is>
          <t>ETH09</t>
        </is>
      </c>
      <c r="D893" t="n">
        <v>4</v>
      </c>
      <c r="E893" t="inlineStr">
        <is>
          <t>Operations Director</t>
        </is>
      </c>
      <c r="F893">
        <f>SUMIF($A$2:$A$1594,A893,$D$2:$D$1594)</f>
        <v/>
      </c>
    </row>
    <row r="894">
      <c r="A894" t="inlineStr">
        <is>
          <t>Mathias, John</t>
        </is>
      </c>
      <c r="B894" t="inlineStr">
        <is>
          <t>Ethiopia</t>
        </is>
      </c>
      <c r="C894" t="inlineStr">
        <is>
          <t>ETH10</t>
        </is>
      </c>
      <c r="D894" t="n">
        <v>4</v>
      </c>
      <c r="E894" t="inlineStr">
        <is>
          <t>Operations Director</t>
        </is>
      </c>
      <c r="F894">
        <f>SUMIF($A$2:$A$1594,A894,$D$2:$D$1594)</f>
        <v/>
      </c>
    </row>
    <row r="895">
      <c r="A895" t="inlineStr">
        <is>
          <t>Mathias, John</t>
        </is>
      </c>
      <c r="B895" t="inlineStr">
        <is>
          <t>Ethiopia</t>
        </is>
      </c>
      <c r="C895" t="inlineStr">
        <is>
          <t>ETH11</t>
        </is>
      </c>
      <c r="D895" t="n">
        <v>5</v>
      </c>
      <c r="E895" t="inlineStr">
        <is>
          <t>Operations Director</t>
        </is>
      </c>
      <c r="F895">
        <f>SUMIF($A$2:$A$1594,A895,$D$2:$D$1594)</f>
        <v/>
      </c>
    </row>
    <row r="896">
      <c r="A896" t="inlineStr">
        <is>
          <t>Mathias, John</t>
        </is>
      </c>
      <c r="B896" t="inlineStr">
        <is>
          <t>Ethiopia</t>
        </is>
      </c>
      <c r="C896" t="inlineStr">
        <is>
          <t>ETH12</t>
        </is>
      </c>
      <c r="D896" t="n">
        <v>5</v>
      </c>
      <c r="E896" t="inlineStr">
        <is>
          <t>Operations Director</t>
        </is>
      </c>
      <c r="F896">
        <f>SUMIF($A$2:$A$1594,A896,$D$2:$D$1594)</f>
        <v/>
      </c>
    </row>
    <row r="897">
      <c r="A897" t="inlineStr">
        <is>
          <t>Mathias, John</t>
        </is>
      </c>
      <c r="B897" t="inlineStr">
        <is>
          <t>Ethiopia</t>
        </is>
      </c>
      <c r="C897" t="inlineStr">
        <is>
          <t>ETH13</t>
        </is>
      </c>
      <c r="D897" t="n">
        <v>5</v>
      </c>
      <c r="E897" t="inlineStr">
        <is>
          <t>Operations Director</t>
        </is>
      </c>
      <c r="F897">
        <f>SUMIF($A$2:$A$1594,A897,$D$2:$D$1594)</f>
        <v/>
      </c>
    </row>
    <row r="898">
      <c r="A898" t="inlineStr">
        <is>
          <t>Mathias, John</t>
        </is>
      </c>
      <c r="B898" t="inlineStr">
        <is>
          <t>Ethiopia</t>
        </is>
      </c>
      <c r="C898" t="inlineStr">
        <is>
          <t>ETH14</t>
        </is>
      </c>
      <c r="D898" t="n">
        <v>5</v>
      </c>
      <c r="E898" t="inlineStr">
        <is>
          <t>Operations Director</t>
        </is>
      </c>
      <c r="F898">
        <f>SUMIF($A$2:$A$1594,A898,$D$2:$D$1594)</f>
        <v/>
      </c>
    </row>
    <row r="899">
      <c r="A899" t="inlineStr">
        <is>
          <t>Misomali, Mark</t>
        </is>
      </c>
      <c r="B899" t="inlineStr">
        <is>
          <t>Ethiopia</t>
        </is>
      </c>
      <c r="C899" t="inlineStr">
        <is>
          <t>ETH01</t>
        </is>
      </c>
      <c r="D899" t="n">
        <v>4</v>
      </c>
      <c r="E899" t="inlineStr">
        <is>
          <t xml:space="preserve">Operations Sr Finance Manager   </t>
        </is>
      </c>
      <c r="F899">
        <f>SUMIF($A$2:$A$1594,A899,$D$2:$D$1594)</f>
        <v/>
      </c>
    </row>
    <row r="900">
      <c r="A900" t="inlineStr">
        <is>
          <t>Misomali, Mark</t>
        </is>
      </c>
      <c r="B900" t="inlineStr">
        <is>
          <t>Ethiopia</t>
        </is>
      </c>
      <c r="C900" t="inlineStr">
        <is>
          <t>ETH02</t>
        </is>
      </c>
      <c r="D900" t="n">
        <v>4</v>
      </c>
      <c r="E900" t="inlineStr">
        <is>
          <t xml:space="preserve">Operations Sr Finance Manager   </t>
        </is>
      </c>
      <c r="F900">
        <f>SUMIF($A$2:$A$1594,A900,$D$2:$D$1594)</f>
        <v/>
      </c>
    </row>
    <row r="901">
      <c r="A901" t="inlineStr">
        <is>
          <t>Misomali, Mark</t>
        </is>
      </c>
      <c r="B901" t="inlineStr">
        <is>
          <t>Ethiopia</t>
        </is>
      </c>
      <c r="C901" t="inlineStr">
        <is>
          <t>ETH03</t>
        </is>
      </c>
      <c r="D901" t="n">
        <v>4</v>
      </c>
      <c r="E901" t="inlineStr">
        <is>
          <t xml:space="preserve">Operations Sr Finance Manager   </t>
        </is>
      </c>
      <c r="F901">
        <f>SUMIF($A$2:$A$1594,A901,$D$2:$D$1594)</f>
        <v/>
      </c>
    </row>
    <row r="902">
      <c r="A902" t="inlineStr">
        <is>
          <t>Misomali, Mark</t>
        </is>
      </c>
      <c r="B902" t="inlineStr">
        <is>
          <t>Ethiopia</t>
        </is>
      </c>
      <c r="C902" t="inlineStr">
        <is>
          <t>ETH04</t>
        </is>
      </c>
      <c r="D902" t="n">
        <v>4</v>
      </c>
      <c r="E902" t="inlineStr">
        <is>
          <t xml:space="preserve">Operations Sr Finance Manager   </t>
        </is>
      </c>
      <c r="F902">
        <f>SUMIF($A$2:$A$1594,A902,$D$2:$D$1594)</f>
        <v/>
      </c>
    </row>
    <row r="903">
      <c r="A903" t="inlineStr">
        <is>
          <t>Misomali, Mark</t>
        </is>
      </c>
      <c r="B903" t="inlineStr">
        <is>
          <t>Ethiopia</t>
        </is>
      </c>
      <c r="C903" t="inlineStr">
        <is>
          <t>ETH05</t>
        </is>
      </c>
      <c r="D903" t="n">
        <v>4</v>
      </c>
      <c r="E903" t="inlineStr">
        <is>
          <t xml:space="preserve">Operations Sr Finance Manager   </t>
        </is>
      </c>
      <c r="F903">
        <f>SUMIF($A$2:$A$1594,A903,$D$2:$D$1594)</f>
        <v/>
      </c>
    </row>
    <row r="904">
      <c r="A904" t="inlineStr">
        <is>
          <t>Misomali, Mark</t>
        </is>
      </c>
      <c r="B904" t="inlineStr">
        <is>
          <t>Ethiopia</t>
        </is>
      </c>
      <c r="C904" t="inlineStr">
        <is>
          <t>ETH06</t>
        </is>
      </c>
      <c r="D904" t="n">
        <v>4</v>
      </c>
      <c r="E904" t="inlineStr">
        <is>
          <t xml:space="preserve">Operations Sr Finance Manager   </t>
        </is>
      </c>
      <c r="F904">
        <f>SUMIF($A$2:$A$1594,A904,$D$2:$D$1594)</f>
        <v/>
      </c>
    </row>
    <row r="905">
      <c r="A905" t="inlineStr">
        <is>
          <t>Misomali, Mark</t>
        </is>
      </c>
      <c r="B905" t="inlineStr">
        <is>
          <t>Ethiopia</t>
        </is>
      </c>
      <c r="C905" t="inlineStr">
        <is>
          <t>ETH07</t>
        </is>
      </c>
      <c r="D905" t="n">
        <v>4</v>
      </c>
      <c r="E905" t="inlineStr">
        <is>
          <t xml:space="preserve">Operations Sr Finance Manager   </t>
        </is>
      </c>
      <c r="F905">
        <f>SUMIF($A$2:$A$1594,A905,$D$2:$D$1594)</f>
        <v/>
      </c>
    </row>
    <row r="906">
      <c r="A906" t="inlineStr">
        <is>
          <t>Misomali, Mark</t>
        </is>
      </c>
      <c r="B906" t="inlineStr">
        <is>
          <t>Ethiopia</t>
        </is>
      </c>
      <c r="C906" t="inlineStr">
        <is>
          <t>ETH08</t>
        </is>
      </c>
      <c r="D906" t="n">
        <v>4</v>
      </c>
      <c r="E906" t="inlineStr">
        <is>
          <t xml:space="preserve">Operations Sr Finance Manager   </t>
        </is>
      </c>
      <c r="F906">
        <f>SUMIF($A$2:$A$1594,A906,$D$2:$D$1594)</f>
        <v/>
      </c>
    </row>
    <row r="907">
      <c r="A907" t="inlineStr">
        <is>
          <t>Misomali, Mark</t>
        </is>
      </c>
      <c r="B907" t="inlineStr">
        <is>
          <t>Ethiopia</t>
        </is>
      </c>
      <c r="C907" t="inlineStr">
        <is>
          <t>ETH09</t>
        </is>
      </c>
      <c r="D907" t="n">
        <v>4</v>
      </c>
      <c r="E907" t="inlineStr">
        <is>
          <t xml:space="preserve">Operations Sr Finance Manager   </t>
        </is>
      </c>
      <c r="F907">
        <f>SUMIF($A$2:$A$1594,A907,$D$2:$D$1594)</f>
        <v/>
      </c>
    </row>
    <row r="908">
      <c r="A908" t="inlineStr">
        <is>
          <t>Misomali, Mark</t>
        </is>
      </c>
      <c r="B908" t="inlineStr">
        <is>
          <t>Ethiopia</t>
        </is>
      </c>
      <c r="C908" t="inlineStr">
        <is>
          <t>ETH10</t>
        </is>
      </c>
      <c r="D908" t="n">
        <v>4</v>
      </c>
      <c r="E908" t="inlineStr">
        <is>
          <t xml:space="preserve">Operations Sr Finance Manager   </t>
        </is>
      </c>
      <c r="F908">
        <f>SUMIF($A$2:$A$1594,A908,$D$2:$D$1594)</f>
        <v/>
      </c>
    </row>
    <row r="909">
      <c r="A909" t="inlineStr">
        <is>
          <t>Misomali, Mark</t>
        </is>
      </c>
      <c r="B909" t="inlineStr">
        <is>
          <t>Ethiopia</t>
        </is>
      </c>
      <c r="C909" t="inlineStr">
        <is>
          <t>ETH11</t>
        </is>
      </c>
      <c r="D909" t="n">
        <v>5</v>
      </c>
      <c r="E909" t="inlineStr">
        <is>
          <t xml:space="preserve">Operations Sr Finance Manager   </t>
        </is>
      </c>
      <c r="F909">
        <f>SUMIF($A$2:$A$1594,A909,$D$2:$D$1594)</f>
        <v/>
      </c>
    </row>
    <row r="910">
      <c r="A910" t="inlineStr">
        <is>
          <t>Misomali, Mark</t>
        </is>
      </c>
      <c r="B910" t="inlineStr">
        <is>
          <t>Ethiopia</t>
        </is>
      </c>
      <c r="C910" t="inlineStr">
        <is>
          <t>ETH12</t>
        </is>
      </c>
      <c r="D910" t="n">
        <v>5</v>
      </c>
      <c r="E910" t="inlineStr">
        <is>
          <t xml:space="preserve">Operations Sr Finance Manager   </t>
        </is>
      </c>
      <c r="F910">
        <f>SUMIF($A$2:$A$1594,A910,$D$2:$D$1594)</f>
        <v/>
      </c>
    </row>
    <row r="911">
      <c r="A911" t="inlineStr">
        <is>
          <t>Misomali, Mark</t>
        </is>
      </c>
      <c r="B911" t="inlineStr">
        <is>
          <t>Ethiopia</t>
        </is>
      </c>
      <c r="C911" t="inlineStr">
        <is>
          <t>ETH13</t>
        </is>
      </c>
      <c r="D911" t="n">
        <v>5</v>
      </c>
      <c r="E911" t="inlineStr">
        <is>
          <t xml:space="preserve">Operations Sr Finance Manager   </t>
        </is>
      </c>
      <c r="F911">
        <f>SUMIF($A$2:$A$1594,A911,$D$2:$D$1594)</f>
        <v/>
      </c>
    </row>
    <row r="912">
      <c r="A912" t="inlineStr">
        <is>
          <t>Misomali, Mark</t>
        </is>
      </c>
      <c r="B912" t="inlineStr">
        <is>
          <t>Ethiopia</t>
        </is>
      </c>
      <c r="C912" t="inlineStr">
        <is>
          <t>ETH14</t>
        </is>
      </c>
      <c r="D912" t="n">
        <v>5</v>
      </c>
      <c r="E912" t="inlineStr">
        <is>
          <t xml:space="preserve">Operations Sr Finance Manager   </t>
        </is>
      </c>
      <c r="F912">
        <f>SUMIF($A$2:$A$1594,A912,$D$2:$D$1594)</f>
        <v/>
      </c>
    </row>
    <row r="913">
      <c r="A913" t="inlineStr">
        <is>
          <t>Noorzai, Mahmood</t>
        </is>
      </c>
      <c r="B913" t="inlineStr">
        <is>
          <t>Ethiopia</t>
        </is>
      </c>
      <c r="C913" t="inlineStr">
        <is>
          <t>ETH01</t>
        </is>
      </c>
      <c r="D913" t="n">
        <v>4</v>
      </c>
      <c r="E913" t="inlineStr">
        <is>
          <t>Operations Finance Associate</t>
        </is>
      </c>
      <c r="F913">
        <f>SUMIF($A$2:$A$1594,A913,$D$2:$D$1594)</f>
        <v/>
      </c>
    </row>
    <row r="914">
      <c r="A914" t="inlineStr">
        <is>
          <t>Noorzai, Mahmood</t>
        </is>
      </c>
      <c r="B914" t="inlineStr">
        <is>
          <t>Ethiopia</t>
        </is>
      </c>
      <c r="C914" t="inlineStr">
        <is>
          <t>ETH02</t>
        </is>
      </c>
      <c r="D914" t="n">
        <v>4</v>
      </c>
      <c r="E914" t="inlineStr">
        <is>
          <t>Operations Finance Associate</t>
        </is>
      </c>
      <c r="F914">
        <f>SUMIF($A$2:$A$1594,A914,$D$2:$D$1594)</f>
        <v/>
      </c>
    </row>
    <row r="915">
      <c r="A915" t="inlineStr">
        <is>
          <t>Noorzai, Mahmood</t>
        </is>
      </c>
      <c r="B915" t="inlineStr">
        <is>
          <t>Ethiopia</t>
        </is>
      </c>
      <c r="C915" t="inlineStr">
        <is>
          <t>ETH03</t>
        </is>
      </c>
      <c r="D915" t="n">
        <v>4</v>
      </c>
      <c r="E915" t="inlineStr">
        <is>
          <t>Operations Finance Associate</t>
        </is>
      </c>
      <c r="F915">
        <f>SUMIF($A$2:$A$1594,A915,$D$2:$D$1594)</f>
        <v/>
      </c>
    </row>
    <row r="916">
      <c r="A916" t="inlineStr">
        <is>
          <t>Noorzai, Mahmood</t>
        </is>
      </c>
      <c r="B916" t="inlineStr">
        <is>
          <t>Ethiopia</t>
        </is>
      </c>
      <c r="C916" t="inlineStr">
        <is>
          <t>ETH04</t>
        </is>
      </c>
      <c r="D916" t="n">
        <v>4</v>
      </c>
      <c r="E916" t="inlineStr">
        <is>
          <t>Operations Finance Associate</t>
        </is>
      </c>
      <c r="F916">
        <f>SUMIF($A$2:$A$1594,A916,$D$2:$D$1594)</f>
        <v/>
      </c>
    </row>
    <row r="917">
      <c r="A917" t="inlineStr">
        <is>
          <t>Noorzai, Mahmood</t>
        </is>
      </c>
      <c r="B917" t="inlineStr">
        <is>
          <t>Ethiopia</t>
        </is>
      </c>
      <c r="C917" t="inlineStr">
        <is>
          <t>ETH05</t>
        </is>
      </c>
      <c r="D917" t="n">
        <v>4</v>
      </c>
      <c r="E917" t="inlineStr">
        <is>
          <t>Operations Finance Associate</t>
        </is>
      </c>
      <c r="F917">
        <f>SUMIF($A$2:$A$1594,A917,$D$2:$D$1594)</f>
        <v/>
      </c>
    </row>
    <row r="918">
      <c r="A918" t="inlineStr">
        <is>
          <t>Noorzai, Mahmood</t>
        </is>
      </c>
      <c r="B918" t="inlineStr">
        <is>
          <t>Ethiopia</t>
        </is>
      </c>
      <c r="C918" t="inlineStr">
        <is>
          <t>ETH06</t>
        </is>
      </c>
      <c r="D918" t="n">
        <v>4</v>
      </c>
      <c r="E918" t="inlineStr">
        <is>
          <t>Operations Finance Associate</t>
        </is>
      </c>
      <c r="F918">
        <f>SUMIF($A$2:$A$1594,A918,$D$2:$D$1594)</f>
        <v/>
      </c>
    </row>
    <row r="919">
      <c r="A919" t="inlineStr">
        <is>
          <t>Noorzai, Mahmood</t>
        </is>
      </c>
      <c r="B919" t="inlineStr">
        <is>
          <t>Ethiopia</t>
        </is>
      </c>
      <c r="C919" t="inlineStr">
        <is>
          <t>ETH07</t>
        </is>
      </c>
      <c r="D919" t="n">
        <v>4</v>
      </c>
      <c r="E919" t="inlineStr">
        <is>
          <t>Operations Finance Associate</t>
        </is>
      </c>
      <c r="F919">
        <f>SUMIF($A$2:$A$1594,A919,$D$2:$D$1594)</f>
        <v/>
      </c>
    </row>
    <row r="920">
      <c r="A920" t="inlineStr">
        <is>
          <t>Noorzai, Mahmood</t>
        </is>
      </c>
      <c r="B920" t="inlineStr">
        <is>
          <t>Ethiopia</t>
        </is>
      </c>
      <c r="C920" t="inlineStr">
        <is>
          <t>ETH08</t>
        </is>
      </c>
      <c r="D920" t="n">
        <v>4</v>
      </c>
      <c r="E920" t="inlineStr">
        <is>
          <t>Operations Finance Associate</t>
        </is>
      </c>
      <c r="F920">
        <f>SUMIF($A$2:$A$1594,A920,$D$2:$D$1594)</f>
        <v/>
      </c>
    </row>
    <row r="921">
      <c r="A921" t="inlineStr">
        <is>
          <t>Noorzai, Mahmood</t>
        </is>
      </c>
      <c r="B921" t="inlineStr">
        <is>
          <t>Ethiopia</t>
        </is>
      </c>
      <c r="C921" t="inlineStr">
        <is>
          <t>ETH09</t>
        </is>
      </c>
      <c r="D921" t="n">
        <v>4</v>
      </c>
      <c r="E921" t="inlineStr">
        <is>
          <t>Operations Finance Associate</t>
        </is>
      </c>
      <c r="F921">
        <f>SUMIF($A$2:$A$1594,A921,$D$2:$D$1594)</f>
        <v/>
      </c>
    </row>
    <row r="922">
      <c r="A922" t="inlineStr">
        <is>
          <t>Noorzai, Mahmood</t>
        </is>
      </c>
      <c r="B922" t="inlineStr">
        <is>
          <t>Ethiopia</t>
        </is>
      </c>
      <c r="C922" t="inlineStr">
        <is>
          <t>ETH10</t>
        </is>
      </c>
      <c r="D922" t="n">
        <v>4</v>
      </c>
      <c r="E922" t="inlineStr">
        <is>
          <t>Operations Finance Associate</t>
        </is>
      </c>
      <c r="F922">
        <f>SUMIF($A$2:$A$1594,A922,$D$2:$D$1594)</f>
        <v/>
      </c>
    </row>
    <row r="923">
      <c r="A923" t="inlineStr">
        <is>
          <t>Noorzai, Mahmood</t>
        </is>
      </c>
      <c r="B923" t="inlineStr">
        <is>
          <t>Ethiopia</t>
        </is>
      </c>
      <c r="C923" t="inlineStr">
        <is>
          <t>ETH11</t>
        </is>
      </c>
      <c r="D923" t="n">
        <v>5</v>
      </c>
      <c r="E923" t="inlineStr">
        <is>
          <t>Operations Finance Associate</t>
        </is>
      </c>
      <c r="F923">
        <f>SUMIF($A$2:$A$1594,A923,$D$2:$D$1594)</f>
        <v/>
      </c>
    </row>
    <row r="924">
      <c r="A924" t="inlineStr">
        <is>
          <t>Noorzai, Mahmood</t>
        </is>
      </c>
      <c r="B924" t="inlineStr">
        <is>
          <t>Ethiopia</t>
        </is>
      </c>
      <c r="C924" t="inlineStr">
        <is>
          <t>ETH12</t>
        </is>
      </c>
      <c r="D924" t="n">
        <v>5</v>
      </c>
      <c r="E924" t="inlineStr">
        <is>
          <t>Operations Finance Associate</t>
        </is>
      </c>
      <c r="F924">
        <f>SUMIF($A$2:$A$1594,A924,$D$2:$D$1594)</f>
        <v/>
      </c>
    </row>
    <row r="925">
      <c r="A925" t="inlineStr">
        <is>
          <t>Noorzai, Mahmood</t>
        </is>
      </c>
      <c r="B925" t="inlineStr">
        <is>
          <t>Ethiopia</t>
        </is>
      </c>
      <c r="C925" t="inlineStr">
        <is>
          <t>ETH13</t>
        </is>
      </c>
      <c r="D925" t="n">
        <v>5</v>
      </c>
      <c r="E925" t="inlineStr">
        <is>
          <t>Operations Finance Associate</t>
        </is>
      </c>
      <c r="F925">
        <f>SUMIF($A$2:$A$1594,A925,$D$2:$D$1594)</f>
        <v/>
      </c>
    </row>
    <row r="926">
      <c r="A926" t="inlineStr">
        <is>
          <t>Noorzai, Mahmood</t>
        </is>
      </c>
      <c r="B926" t="inlineStr">
        <is>
          <t>Ethiopia</t>
        </is>
      </c>
      <c r="C926" t="inlineStr">
        <is>
          <t>ETH14</t>
        </is>
      </c>
      <c r="D926" t="n">
        <v>5</v>
      </c>
      <c r="E926" t="inlineStr">
        <is>
          <t>Operations Finance Associate</t>
        </is>
      </c>
      <c r="F926">
        <f>SUMIF($A$2:$A$1594,A926,$D$2:$D$1594)</f>
        <v/>
      </c>
    </row>
    <row r="927">
      <c r="A927" t="inlineStr">
        <is>
          <t>Parker, Christine</t>
        </is>
      </c>
      <c r="B927" t="inlineStr">
        <is>
          <t>Ethiopia</t>
        </is>
      </c>
      <c r="C927" t="inlineStr">
        <is>
          <t>ETH01</t>
        </is>
      </c>
      <c r="D927" t="n">
        <v>16</v>
      </c>
      <c r="E927" t="inlineStr">
        <is>
          <t>Operations Senior Manager Pool-17</t>
        </is>
      </c>
      <c r="F927">
        <f>SUMIF($A$2:$A$1594,A927,$D$2:$D$1594)</f>
        <v/>
      </c>
    </row>
    <row r="928">
      <c r="A928" t="inlineStr">
        <is>
          <t>Parker, Christine</t>
        </is>
      </c>
      <c r="B928" t="inlineStr">
        <is>
          <t>Ethiopia</t>
        </is>
      </c>
      <c r="C928" t="inlineStr">
        <is>
          <t>ETH02</t>
        </is>
      </c>
      <c r="D928" t="n">
        <v>16</v>
      </c>
      <c r="E928" t="inlineStr">
        <is>
          <t>Operations Senior Manager Pool-17</t>
        </is>
      </c>
      <c r="F928">
        <f>SUMIF($A$2:$A$1594,A928,$D$2:$D$1594)</f>
        <v/>
      </c>
    </row>
    <row r="929">
      <c r="A929" t="inlineStr">
        <is>
          <t>Parker, Christine</t>
        </is>
      </c>
      <c r="B929" t="inlineStr">
        <is>
          <t>Ethiopia</t>
        </is>
      </c>
      <c r="C929" t="inlineStr">
        <is>
          <t>ETH03</t>
        </is>
      </c>
      <c r="D929" t="n">
        <v>16</v>
      </c>
      <c r="E929" t="inlineStr">
        <is>
          <t>Operations Senior Manager Pool-17</t>
        </is>
      </c>
      <c r="F929">
        <f>SUMIF($A$2:$A$1594,A929,$D$2:$D$1594)</f>
        <v/>
      </c>
    </row>
    <row r="930">
      <c r="A930" t="inlineStr">
        <is>
          <t>Parker, Christine</t>
        </is>
      </c>
      <c r="B930" t="inlineStr">
        <is>
          <t>Ethiopia</t>
        </is>
      </c>
      <c r="C930" t="inlineStr">
        <is>
          <t>ETH04</t>
        </is>
      </c>
      <c r="D930" t="n">
        <v>16</v>
      </c>
      <c r="E930" t="inlineStr">
        <is>
          <t>Operations Senior Manager Pool-17</t>
        </is>
      </c>
      <c r="F930">
        <f>SUMIF($A$2:$A$1594,A930,$D$2:$D$1594)</f>
        <v/>
      </c>
    </row>
    <row r="931">
      <c r="A931" t="inlineStr">
        <is>
          <t>Parker, Christine</t>
        </is>
      </c>
      <c r="B931" t="inlineStr">
        <is>
          <t>Ethiopia</t>
        </is>
      </c>
      <c r="C931" t="inlineStr">
        <is>
          <t>ETH05</t>
        </is>
      </c>
      <c r="D931" t="n">
        <v>16</v>
      </c>
      <c r="E931" t="inlineStr">
        <is>
          <t>Operations Senior Manager Pool-17</t>
        </is>
      </c>
      <c r="F931">
        <f>SUMIF($A$2:$A$1594,A931,$D$2:$D$1594)</f>
        <v/>
      </c>
    </row>
    <row r="932">
      <c r="A932" t="inlineStr">
        <is>
          <t>Parker, Christine</t>
        </is>
      </c>
      <c r="B932" t="inlineStr">
        <is>
          <t>Ethiopia</t>
        </is>
      </c>
      <c r="C932" t="inlineStr">
        <is>
          <t>ETH06</t>
        </is>
      </c>
      <c r="D932" t="n">
        <v>17</v>
      </c>
      <c r="E932" t="inlineStr">
        <is>
          <t>Operations Senior Manager Pool-17</t>
        </is>
      </c>
      <c r="F932">
        <f>SUMIF($A$2:$A$1594,A932,$D$2:$D$1594)</f>
        <v/>
      </c>
    </row>
    <row r="933">
      <c r="A933" t="inlineStr">
        <is>
          <t>Parker, Christine</t>
        </is>
      </c>
      <c r="B933" t="inlineStr">
        <is>
          <t>Ethiopia</t>
        </is>
      </c>
      <c r="C933" t="inlineStr">
        <is>
          <t>ETH07</t>
        </is>
      </c>
      <c r="D933" t="n">
        <v>17</v>
      </c>
      <c r="E933" t="inlineStr">
        <is>
          <t>Operations Senior Manager Pool-17</t>
        </is>
      </c>
      <c r="F933">
        <f>SUMIF($A$2:$A$1594,A933,$D$2:$D$1594)</f>
        <v/>
      </c>
    </row>
    <row r="934">
      <c r="A934" t="inlineStr">
        <is>
          <t>Parker, Christine</t>
        </is>
      </c>
      <c r="B934" t="inlineStr">
        <is>
          <t>Ethiopia</t>
        </is>
      </c>
      <c r="C934" t="inlineStr">
        <is>
          <t>ETH08</t>
        </is>
      </c>
      <c r="D934" t="n">
        <v>17</v>
      </c>
      <c r="E934" t="inlineStr">
        <is>
          <t>Operations Senior Manager Pool-17</t>
        </is>
      </c>
      <c r="F934">
        <f>SUMIF($A$2:$A$1594,A934,$D$2:$D$1594)</f>
        <v/>
      </c>
    </row>
    <row r="935">
      <c r="A935" t="inlineStr">
        <is>
          <t>Parker, Christine</t>
        </is>
      </c>
      <c r="B935" t="inlineStr">
        <is>
          <t>Ethiopia</t>
        </is>
      </c>
      <c r="C935" t="inlineStr">
        <is>
          <t>ETH09</t>
        </is>
      </c>
      <c r="D935" t="n">
        <v>16</v>
      </c>
      <c r="E935" t="inlineStr">
        <is>
          <t>Operations Senior Manager Pool-17</t>
        </is>
      </c>
      <c r="F935">
        <f>SUMIF($A$2:$A$1594,A935,$D$2:$D$1594)</f>
        <v/>
      </c>
    </row>
    <row r="936">
      <c r="A936" t="inlineStr">
        <is>
          <t>Parker, Christine</t>
        </is>
      </c>
      <c r="B936" t="inlineStr">
        <is>
          <t>Ethiopia</t>
        </is>
      </c>
      <c r="C936" t="inlineStr">
        <is>
          <t>ETH10</t>
        </is>
      </c>
      <c r="D936" t="n">
        <v>16</v>
      </c>
      <c r="E936" t="inlineStr">
        <is>
          <t>Operations Senior Manager Pool-17</t>
        </is>
      </c>
      <c r="F936">
        <f>SUMIF($A$2:$A$1594,A936,$D$2:$D$1594)</f>
        <v/>
      </c>
    </row>
    <row r="937">
      <c r="A937" t="inlineStr">
        <is>
          <t>Parker, Christine</t>
        </is>
      </c>
      <c r="B937" t="inlineStr">
        <is>
          <t>Ethiopia</t>
        </is>
      </c>
      <c r="C937" t="inlineStr">
        <is>
          <t>ETH11</t>
        </is>
      </c>
      <c r="D937" t="n">
        <v>16</v>
      </c>
      <c r="E937" t="inlineStr">
        <is>
          <t>Operations Senior Manager Pool-17</t>
        </is>
      </c>
      <c r="F937">
        <f>SUMIF($A$2:$A$1594,A937,$D$2:$D$1594)</f>
        <v/>
      </c>
    </row>
    <row r="938">
      <c r="A938" t="inlineStr">
        <is>
          <t>Parker, Christine</t>
        </is>
      </c>
      <c r="B938" t="inlineStr">
        <is>
          <t>Ethiopia</t>
        </is>
      </c>
      <c r="C938" t="inlineStr">
        <is>
          <t>ETH12</t>
        </is>
      </c>
      <c r="D938" t="n">
        <v>17</v>
      </c>
      <c r="E938" t="inlineStr">
        <is>
          <t>Operations Senior Manager Pool-17</t>
        </is>
      </c>
      <c r="F938">
        <f>SUMIF($A$2:$A$1594,A938,$D$2:$D$1594)</f>
        <v/>
      </c>
    </row>
    <row r="939">
      <c r="A939" t="inlineStr">
        <is>
          <t>Parker, Christine</t>
        </is>
      </c>
      <c r="B939" t="inlineStr">
        <is>
          <t>Ethiopia</t>
        </is>
      </c>
      <c r="C939" t="inlineStr">
        <is>
          <t>ETH13</t>
        </is>
      </c>
      <c r="D939" t="n">
        <v>17</v>
      </c>
      <c r="E939" t="inlineStr">
        <is>
          <t>Operations Senior Manager Pool-17</t>
        </is>
      </c>
      <c r="F939">
        <f>SUMIF($A$2:$A$1594,A939,$D$2:$D$1594)</f>
        <v/>
      </c>
    </row>
    <row r="940">
      <c r="A940" t="inlineStr">
        <is>
          <t>Parker, Christine</t>
        </is>
      </c>
      <c r="B940" t="inlineStr">
        <is>
          <t>Ethiopia</t>
        </is>
      </c>
      <c r="C940" t="inlineStr">
        <is>
          <t>ETH14</t>
        </is>
      </c>
      <c r="D940" t="n">
        <v>17</v>
      </c>
      <c r="E940" t="inlineStr">
        <is>
          <t>Operations Senior Manager Pool-17</t>
        </is>
      </c>
      <c r="F940">
        <f>SUMIF($A$2:$A$1594,A940,$D$2:$D$1594)</f>
        <v/>
      </c>
    </row>
    <row r="941">
      <c r="A941" t="inlineStr">
        <is>
          <t>Mawandia, Shreshth</t>
        </is>
      </c>
      <c r="B941" t="inlineStr">
        <is>
          <t>Honduras</t>
        </is>
      </c>
      <c r="C941" t="inlineStr">
        <is>
          <t>HON01</t>
        </is>
      </c>
      <c r="D941" t="n">
        <v>1.5</v>
      </c>
      <c r="E941" t="inlineStr">
        <is>
          <t>KP - Project Director</t>
        </is>
      </c>
      <c r="F941">
        <f>SUMIF($A$2:$A$1594,A941,$D$2:$D$1594)</f>
        <v/>
      </c>
    </row>
    <row r="942">
      <c r="A942" t="inlineStr">
        <is>
          <t>Mawandia, Shreshth</t>
        </is>
      </c>
      <c r="B942" t="inlineStr">
        <is>
          <t>Honduras</t>
        </is>
      </c>
      <c r="C942" t="inlineStr">
        <is>
          <t>HON02</t>
        </is>
      </c>
      <c r="D942" t="n">
        <v>1.5</v>
      </c>
      <c r="E942" t="inlineStr">
        <is>
          <t>KP - Project Director</t>
        </is>
      </c>
      <c r="F942">
        <f>SUMIF($A$2:$A$1594,A942,$D$2:$D$1594)</f>
        <v/>
      </c>
    </row>
    <row r="943">
      <c r="A943" t="inlineStr">
        <is>
          <t>Mawandia, Shreshth</t>
        </is>
      </c>
      <c r="B943" t="inlineStr">
        <is>
          <t>Honduras</t>
        </is>
      </c>
      <c r="C943" t="inlineStr">
        <is>
          <t>HON03</t>
        </is>
      </c>
      <c r="D943" t="n">
        <v>1.5</v>
      </c>
      <c r="E943" t="inlineStr">
        <is>
          <t>KP - Project Director</t>
        </is>
      </c>
      <c r="F943">
        <f>SUMIF($A$2:$A$1594,A943,$D$2:$D$1594)</f>
        <v/>
      </c>
    </row>
    <row r="944">
      <c r="A944" t="inlineStr">
        <is>
          <t>Mawandia, Shreshth</t>
        </is>
      </c>
      <c r="B944" t="inlineStr">
        <is>
          <t>Honduras</t>
        </is>
      </c>
      <c r="C944" t="inlineStr">
        <is>
          <t>HON04</t>
        </is>
      </c>
      <c r="D944" t="n">
        <v>1.5</v>
      </c>
      <c r="E944" t="inlineStr">
        <is>
          <t>KP - Project Director</t>
        </is>
      </c>
      <c r="F944">
        <f>SUMIF($A$2:$A$1594,A944,$D$2:$D$1594)</f>
        <v/>
      </c>
    </row>
    <row r="945">
      <c r="A945" t="inlineStr">
        <is>
          <t>Nigussie, Netsanet</t>
        </is>
      </c>
      <c r="B945" t="inlineStr">
        <is>
          <t>Honduras</t>
        </is>
      </c>
      <c r="C945" t="inlineStr">
        <is>
          <t>HON01</t>
        </is>
      </c>
      <c r="D945" t="n">
        <v>1.5</v>
      </c>
      <c r="E945" t="inlineStr">
        <is>
          <t>KP - Technical Director</t>
        </is>
      </c>
      <c r="F945">
        <f>SUMIF($A$2:$A$1594,A945,$D$2:$D$1594)</f>
        <v/>
      </c>
    </row>
    <row r="946">
      <c r="A946" t="inlineStr">
        <is>
          <t>Nigussie, Netsanet</t>
        </is>
      </c>
      <c r="B946" t="inlineStr">
        <is>
          <t>Honduras</t>
        </is>
      </c>
      <c r="C946" t="inlineStr">
        <is>
          <t>HON02</t>
        </is>
      </c>
      <c r="D946" t="n">
        <v>1.5</v>
      </c>
      <c r="E946" t="inlineStr">
        <is>
          <t>KP - Technical Director</t>
        </is>
      </c>
      <c r="F946">
        <f>SUMIF($A$2:$A$1594,A946,$D$2:$D$1594)</f>
        <v/>
      </c>
    </row>
    <row r="947">
      <c r="A947" t="inlineStr">
        <is>
          <t>Nigussie, Netsanet</t>
        </is>
      </c>
      <c r="B947" t="inlineStr">
        <is>
          <t>Honduras</t>
        </is>
      </c>
      <c r="C947" t="inlineStr">
        <is>
          <t>HON03</t>
        </is>
      </c>
      <c r="D947" t="n">
        <v>1.5</v>
      </c>
      <c r="E947" t="inlineStr">
        <is>
          <t>KP - Technical Director</t>
        </is>
      </c>
      <c r="F947">
        <f>SUMIF($A$2:$A$1594,A947,$D$2:$D$1594)</f>
        <v/>
      </c>
    </row>
    <row r="948">
      <c r="A948" t="inlineStr">
        <is>
          <t>Nigussie, Netsanet</t>
        </is>
      </c>
      <c r="B948" t="inlineStr">
        <is>
          <t>Honduras</t>
        </is>
      </c>
      <c r="C948" t="inlineStr">
        <is>
          <t>HON04</t>
        </is>
      </c>
      <c r="D948" t="n">
        <v>1.5</v>
      </c>
      <c r="E948" t="inlineStr">
        <is>
          <t>KP - Technical Director</t>
        </is>
      </c>
      <c r="F948">
        <f>SUMIF($A$2:$A$1594,A948,$D$2:$D$1594)</f>
        <v/>
      </c>
    </row>
    <row r="949">
      <c r="A949" t="inlineStr">
        <is>
          <t>Mensah, Margaret</t>
        </is>
      </c>
      <c r="B949" t="inlineStr">
        <is>
          <t>Honduras</t>
        </is>
      </c>
      <c r="C949" t="inlineStr">
        <is>
          <t>HON01</t>
        </is>
      </c>
      <c r="D949" t="n">
        <v>1.5</v>
      </c>
      <c r="E949" t="inlineStr">
        <is>
          <t>KP - Finance Director</t>
        </is>
      </c>
      <c r="F949">
        <f>SUMIF($A$2:$A$1594,A949,$D$2:$D$1594)</f>
        <v/>
      </c>
    </row>
    <row r="950">
      <c r="A950" t="inlineStr">
        <is>
          <t>Mensah, Margaret</t>
        </is>
      </c>
      <c r="B950" t="inlineStr">
        <is>
          <t>Honduras</t>
        </is>
      </c>
      <c r="C950" t="inlineStr">
        <is>
          <t>HON02</t>
        </is>
      </c>
      <c r="D950" t="n">
        <v>1.5</v>
      </c>
      <c r="E950" t="inlineStr">
        <is>
          <t>KP - Finance Director</t>
        </is>
      </c>
      <c r="F950">
        <f>SUMIF($A$2:$A$1594,A950,$D$2:$D$1594)</f>
        <v/>
      </c>
    </row>
    <row r="951">
      <c r="A951" t="inlineStr">
        <is>
          <t>Mensah, Margaret</t>
        </is>
      </c>
      <c r="B951" t="inlineStr">
        <is>
          <t>Honduras</t>
        </is>
      </c>
      <c r="C951" t="inlineStr">
        <is>
          <t>HON03</t>
        </is>
      </c>
      <c r="D951" t="n">
        <v>1.5</v>
      </c>
      <c r="E951" t="inlineStr">
        <is>
          <t>KP - Finance Director</t>
        </is>
      </c>
      <c r="F951">
        <f>SUMIF($A$2:$A$1594,A951,$D$2:$D$1594)</f>
        <v/>
      </c>
    </row>
    <row r="952">
      <c r="A952" t="inlineStr">
        <is>
          <t>Mensah, Margaret</t>
        </is>
      </c>
      <c r="B952" t="inlineStr">
        <is>
          <t>Honduras</t>
        </is>
      </c>
      <c r="C952" t="inlineStr">
        <is>
          <t>HON04</t>
        </is>
      </c>
      <c r="D952" t="n">
        <v>1.5</v>
      </c>
      <c r="E952" t="inlineStr">
        <is>
          <t>KP - Finance Director</t>
        </is>
      </c>
      <c r="F952">
        <f>SUMIF($A$2:$A$1594,A952,$D$2:$D$1594)</f>
        <v/>
      </c>
    </row>
    <row r="953">
      <c r="A953" t="inlineStr">
        <is>
          <t>Friedman, Jonathan</t>
        </is>
      </c>
      <c r="B953" t="inlineStr">
        <is>
          <t>Honduras</t>
        </is>
      </c>
      <c r="C953" t="inlineStr">
        <is>
          <t>HON01</t>
        </is>
      </c>
      <c r="D953" t="n">
        <v>1.5</v>
      </c>
      <c r="E953" t="inlineStr">
        <is>
          <t>AI/ML Lead</t>
        </is>
      </c>
      <c r="F953">
        <f>SUMIF($A$2:$A$1594,A953,$D$2:$D$1594)</f>
        <v/>
      </c>
    </row>
    <row r="954">
      <c r="A954" t="inlineStr">
        <is>
          <t>Friedman, Jonathan</t>
        </is>
      </c>
      <c r="B954" t="inlineStr">
        <is>
          <t>Honduras</t>
        </is>
      </c>
      <c r="C954" t="inlineStr">
        <is>
          <t>HON02</t>
        </is>
      </c>
      <c r="D954" t="n">
        <v>1.5</v>
      </c>
      <c r="E954" t="inlineStr">
        <is>
          <t>AI/ML Lead</t>
        </is>
      </c>
      <c r="F954">
        <f>SUMIF($A$2:$A$1594,A954,$D$2:$D$1594)</f>
        <v/>
      </c>
    </row>
    <row r="955">
      <c r="A955" t="inlineStr">
        <is>
          <t>Friedman, Jonathan</t>
        </is>
      </c>
      <c r="B955" t="inlineStr">
        <is>
          <t>Honduras</t>
        </is>
      </c>
      <c r="C955" t="inlineStr">
        <is>
          <t>HON03</t>
        </is>
      </c>
      <c r="D955" t="n">
        <v>1.5</v>
      </c>
      <c r="E955" t="inlineStr">
        <is>
          <t>AI/ML Lead</t>
        </is>
      </c>
      <c r="F955">
        <f>SUMIF($A$2:$A$1594,A955,$D$2:$D$1594)</f>
        <v/>
      </c>
    </row>
    <row r="956">
      <c r="A956" t="inlineStr">
        <is>
          <t>Friedman, Jonathan</t>
        </is>
      </c>
      <c r="B956" t="inlineStr">
        <is>
          <t>Honduras</t>
        </is>
      </c>
      <c r="C956" t="inlineStr">
        <is>
          <t>HON04</t>
        </is>
      </c>
      <c r="D956" t="n">
        <v>1.5</v>
      </c>
      <c r="E956" t="inlineStr">
        <is>
          <t>AI/ML Lead</t>
        </is>
      </c>
      <c r="F956">
        <f>SUMIF($A$2:$A$1594,A956,$D$2:$D$1594)</f>
        <v/>
      </c>
    </row>
    <row r="957">
      <c r="A957" t="inlineStr">
        <is>
          <t>Mavyuva, Boniface</t>
        </is>
      </c>
      <c r="B957" t="inlineStr">
        <is>
          <t>Honduras</t>
        </is>
      </c>
      <c r="C957" t="inlineStr">
        <is>
          <t>HON01</t>
        </is>
      </c>
      <c r="D957" t="n">
        <v>0.5</v>
      </c>
      <c r="E957" t="inlineStr">
        <is>
          <t>Dig Infrastructure Lead</t>
        </is>
      </c>
      <c r="F957">
        <f>SUMIF($A$2:$A$1594,A957,$D$2:$D$1594)</f>
        <v/>
      </c>
    </row>
    <row r="958">
      <c r="A958" t="inlineStr">
        <is>
          <t>Mavyuva, Boniface</t>
        </is>
      </c>
      <c r="B958" t="inlineStr">
        <is>
          <t>Honduras</t>
        </is>
      </c>
      <c r="C958" t="inlineStr">
        <is>
          <t>HON02</t>
        </is>
      </c>
      <c r="D958" t="n">
        <v>0.5</v>
      </c>
      <c r="E958" t="inlineStr">
        <is>
          <t>Dig Infrastructure Lead</t>
        </is>
      </c>
      <c r="F958">
        <f>SUMIF($A$2:$A$1594,A958,$D$2:$D$1594)</f>
        <v/>
      </c>
    </row>
    <row r="959">
      <c r="A959" t="inlineStr">
        <is>
          <t>Mavyuva, Boniface</t>
        </is>
      </c>
      <c r="B959" t="inlineStr">
        <is>
          <t>Honduras</t>
        </is>
      </c>
      <c r="C959" t="inlineStr">
        <is>
          <t>HON03</t>
        </is>
      </c>
      <c r="D959" t="n">
        <v>0.5</v>
      </c>
      <c r="E959" t="inlineStr">
        <is>
          <t>Dig Infrastructure Lead</t>
        </is>
      </c>
      <c r="F959">
        <f>SUMIF($A$2:$A$1594,A959,$D$2:$D$1594)</f>
        <v/>
      </c>
    </row>
    <row r="960">
      <c r="A960" t="inlineStr">
        <is>
          <t>Mavyuva, Boniface</t>
        </is>
      </c>
      <c r="B960" t="inlineStr">
        <is>
          <t>Honduras</t>
        </is>
      </c>
      <c r="C960" t="inlineStr">
        <is>
          <t>HON04</t>
        </is>
      </c>
      <c r="D960" t="n">
        <v>0.5</v>
      </c>
      <c r="E960" t="inlineStr">
        <is>
          <t>Dig Infrastructure Lead</t>
        </is>
      </c>
      <c r="F960">
        <f>SUMIF($A$2:$A$1594,A960,$D$2:$D$1594)</f>
        <v/>
      </c>
    </row>
    <row r="961">
      <c r="A961" t="inlineStr">
        <is>
          <t>Vargas Monzon, Julio</t>
        </is>
      </c>
      <c r="B961" t="inlineStr">
        <is>
          <t>Honduras</t>
        </is>
      </c>
      <c r="C961" t="inlineStr">
        <is>
          <t>HON01</t>
        </is>
      </c>
      <c r="D961" t="n">
        <v>2</v>
      </c>
      <c r="E961" t="inlineStr">
        <is>
          <t>Infosec Co-Lead</t>
        </is>
      </c>
      <c r="F961">
        <f>SUMIF($A$2:$A$1594,A961,$D$2:$D$1594)</f>
        <v/>
      </c>
    </row>
    <row r="962">
      <c r="A962" t="inlineStr">
        <is>
          <t>Vargas Monzon, Julio</t>
        </is>
      </c>
      <c r="B962" t="inlineStr">
        <is>
          <t>Honduras</t>
        </is>
      </c>
      <c r="C962" t="inlineStr">
        <is>
          <t>HON02</t>
        </is>
      </c>
      <c r="D962" t="n">
        <v>2</v>
      </c>
      <c r="E962" t="inlineStr">
        <is>
          <t>Infosec Co-Lead</t>
        </is>
      </c>
      <c r="F962">
        <f>SUMIF($A$2:$A$1594,A962,$D$2:$D$1594)</f>
        <v/>
      </c>
    </row>
    <row r="963">
      <c r="A963" t="inlineStr">
        <is>
          <t>Vargas Monzon, Julio</t>
        </is>
      </c>
      <c r="B963" t="inlineStr">
        <is>
          <t>Honduras</t>
        </is>
      </c>
      <c r="C963" t="inlineStr">
        <is>
          <t>HON03</t>
        </is>
      </c>
      <c r="D963" t="n">
        <v>3</v>
      </c>
      <c r="E963" t="inlineStr">
        <is>
          <t>Infosec Co-Lead</t>
        </is>
      </c>
      <c r="F963">
        <f>SUMIF($A$2:$A$1594,A963,$D$2:$D$1594)</f>
        <v/>
      </c>
    </row>
    <row r="964">
      <c r="A964" t="inlineStr">
        <is>
          <t>Vargas Monzon, Julio</t>
        </is>
      </c>
      <c r="B964" t="inlineStr">
        <is>
          <t>Honduras</t>
        </is>
      </c>
      <c r="C964" t="inlineStr">
        <is>
          <t>HON04</t>
        </is>
      </c>
      <c r="D964" t="n">
        <v>3</v>
      </c>
      <c r="E964" t="inlineStr">
        <is>
          <t>Infosec Co-Lead</t>
        </is>
      </c>
      <c r="F964">
        <f>SUMIF($A$2:$A$1594,A964,$D$2:$D$1594)</f>
        <v/>
      </c>
    </row>
    <row r="965">
      <c r="A965" t="inlineStr">
        <is>
          <t>Showalter, Caitlin</t>
        </is>
      </c>
      <c r="B965" t="inlineStr">
        <is>
          <t>Honduras</t>
        </is>
      </c>
      <c r="C965" t="inlineStr">
        <is>
          <t>HON01</t>
        </is>
      </c>
      <c r="D965" t="n">
        <v>1.5</v>
      </c>
      <c r="E965" t="inlineStr">
        <is>
          <t>M&amp;E and Learning</t>
        </is>
      </c>
      <c r="F965">
        <f>SUMIF($A$2:$A$1594,A965,$D$2:$D$1594)</f>
        <v/>
      </c>
    </row>
    <row r="966">
      <c r="A966" t="inlineStr">
        <is>
          <t>Showalter, Caitlin</t>
        </is>
      </c>
      <c r="B966" t="inlineStr">
        <is>
          <t>Honduras</t>
        </is>
      </c>
      <c r="C966" t="inlineStr">
        <is>
          <t>HON02</t>
        </is>
      </c>
      <c r="D966" t="n">
        <v>1.5</v>
      </c>
      <c r="E966" t="inlineStr">
        <is>
          <t>M&amp;E and Learning</t>
        </is>
      </c>
      <c r="F966">
        <f>SUMIF($A$2:$A$1594,A966,$D$2:$D$1594)</f>
        <v/>
      </c>
    </row>
    <row r="967">
      <c r="A967" t="inlineStr">
        <is>
          <t>Showalter, Caitlin</t>
        </is>
      </c>
      <c r="B967" t="inlineStr">
        <is>
          <t>Honduras</t>
        </is>
      </c>
      <c r="C967" t="inlineStr">
        <is>
          <t>HON03</t>
        </is>
      </c>
      <c r="D967" t="n">
        <v>1.5</v>
      </c>
      <c r="E967" t="inlineStr">
        <is>
          <t>M&amp;E and Learning</t>
        </is>
      </c>
      <c r="F967">
        <f>SUMIF($A$2:$A$1594,A967,$D$2:$D$1594)</f>
        <v/>
      </c>
    </row>
    <row r="968">
      <c r="A968" t="inlineStr">
        <is>
          <t>Showalter, Caitlin</t>
        </is>
      </c>
      <c r="B968" t="inlineStr">
        <is>
          <t>Honduras</t>
        </is>
      </c>
      <c r="C968" t="inlineStr">
        <is>
          <t>HON04</t>
        </is>
      </c>
      <c r="D968" t="n">
        <v>1.5</v>
      </c>
      <c r="E968" t="inlineStr">
        <is>
          <t>M&amp;E and Learning</t>
        </is>
      </c>
      <c r="F968">
        <f>SUMIF($A$2:$A$1594,A968,$D$2:$D$1594)</f>
        <v/>
      </c>
    </row>
    <row r="969">
      <c r="A969" t="inlineStr">
        <is>
          <t>Miranda Rondon de Ro, Ing</t>
        </is>
      </c>
      <c r="B969" t="inlineStr">
        <is>
          <t>Honduras</t>
        </is>
      </c>
      <c r="C969" t="inlineStr">
        <is>
          <t>HON01</t>
        </is>
      </c>
      <c r="D969" t="n">
        <v>1.5</v>
      </c>
      <c r="E969" t="inlineStr">
        <is>
          <t>M&amp;E and Learning</t>
        </is>
      </c>
      <c r="F969">
        <f>SUMIF($A$2:$A$1594,A969,$D$2:$D$1594)</f>
        <v/>
      </c>
    </row>
    <row r="970">
      <c r="A970" t="inlineStr">
        <is>
          <t>Miranda Rondon de Ro, Ing</t>
        </is>
      </c>
      <c r="B970" t="inlineStr">
        <is>
          <t>Honduras</t>
        </is>
      </c>
      <c r="C970" t="inlineStr">
        <is>
          <t>HON02</t>
        </is>
      </c>
      <c r="D970" t="n">
        <v>1.5</v>
      </c>
      <c r="E970" t="inlineStr">
        <is>
          <t>M&amp;E and Learning</t>
        </is>
      </c>
      <c r="F970">
        <f>SUMIF($A$2:$A$1594,A970,$D$2:$D$1594)</f>
        <v/>
      </c>
    </row>
    <row r="971">
      <c r="A971" t="inlineStr">
        <is>
          <t>Miranda Rondon de Ro, Ing</t>
        </is>
      </c>
      <c r="B971" t="inlineStr">
        <is>
          <t>Honduras</t>
        </is>
      </c>
      <c r="C971" t="inlineStr">
        <is>
          <t>HON03</t>
        </is>
      </c>
      <c r="D971" t="n">
        <v>1.5</v>
      </c>
      <c r="E971" t="inlineStr">
        <is>
          <t>M&amp;E and Learning</t>
        </is>
      </c>
      <c r="F971">
        <f>SUMIF($A$2:$A$1594,A971,$D$2:$D$1594)</f>
        <v/>
      </c>
    </row>
    <row r="972">
      <c r="A972" t="inlineStr">
        <is>
          <t>Miranda Rondon de Ro, Ing</t>
        </is>
      </c>
      <c r="B972" t="inlineStr">
        <is>
          <t>Honduras</t>
        </is>
      </c>
      <c r="C972" t="inlineStr">
        <is>
          <t>HON04</t>
        </is>
      </c>
      <c r="D972" t="n">
        <v>1.5</v>
      </c>
      <c r="E972" t="inlineStr">
        <is>
          <t>M&amp;E and Learning</t>
        </is>
      </c>
      <c r="F972">
        <f>SUMIF($A$2:$A$1594,A972,$D$2:$D$1594)</f>
        <v/>
      </c>
    </row>
    <row r="973">
      <c r="A973" t="inlineStr">
        <is>
          <t>Sakaguchi, Kevin</t>
        </is>
      </c>
      <c r="B973" t="inlineStr">
        <is>
          <t>Honduras</t>
        </is>
      </c>
      <c r="C973" t="inlineStr">
        <is>
          <t>HON01</t>
        </is>
      </c>
      <c r="D973" t="n">
        <v>1.5</v>
      </c>
      <c r="E973" t="inlineStr">
        <is>
          <t>M&amp;E and Learning</t>
        </is>
      </c>
      <c r="F973">
        <f>SUMIF($A$2:$A$1594,A973,$D$2:$D$1594)</f>
        <v/>
      </c>
    </row>
    <row r="974">
      <c r="A974" t="inlineStr">
        <is>
          <t>Sakaguchi, Kevin</t>
        </is>
      </c>
      <c r="B974" t="inlineStr">
        <is>
          <t>Honduras</t>
        </is>
      </c>
      <c r="C974" t="inlineStr">
        <is>
          <t>HON02</t>
        </is>
      </c>
      <c r="D974" t="n">
        <v>1.5</v>
      </c>
      <c r="E974" t="inlineStr">
        <is>
          <t>M&amp;E and Learning</t>
        </is>
      </c>
      <c r="F974">
        <f>SUMIF($A$2:$A$1594,A974,$D$2:$D$1594)</f>
        <v/>
      </c>
    </row>
    <row r="975">
      <c r="A975" t="inlineStr">
        <is>
          <t>Sakaguchi, Kevin</t>
        </is>
      </c>
      <c r="B975" t="inlineStr">
        <is>
          <t>Honduras</t>
        </is>
      </c>
      <c r="C975" t="inlineStr">
        <is>
          <t>HON03</t>
        </is>
      </c>
      <c r="D975" t="n">
        <v>1.5</v>
      </c>
      <c r="E975" t="inlineStr">
        <is>
          <t>M&amp;E and Learning</t>
        </is>
      </c>
      <c r="F975">
        <f>SUMIF($A$2:$A$1594,A975,$D$2:$D$1594)</f>
        <v/>
      </c>
    </row>
    <row r="976">
      <c r="A976" t="inlineStr">
        <is>
          <t>Sakaguchi, Kevin</t>
        </is>
      </c>
      <c r="B976" t="inlineStr">
        <is>
          <t>Honduras</t>
        </is>
      </c>
      <c r="C976" t="inlineStr">
        <is>
          <t>HON04</t>
        </is>
      </c>
      <c r="D976" t="n">
        <v>1.5</v>
      </c>
      <c r="E976" t="inlineStr">
        <is>
          <t>M&amp;E and Learning</t>
        </is>
      </c>
      <c r="F976">
        <f>SUMIF($A$2:$A$1594,A976,$D$2:$D$1594)</f>
        <v/>
      </c>
    </row>
    <row r="977">
      <c r="A977" t="inlineStr">
        <is>
          <t>Claussen, Laurence</t>
        </is>
      </c>
      <c r="B977" t="inlineStr">
        <is>
          <t>Honduras</t>
        </is>
      </c>
      <c r="C977" t="inlineStr">
        <is>
          <t>HON01</t>
        </is>
      </c>
      <c r="D977" t="n">
        <v>1.5</v>
      </c>
      <c r="E977" t="inlineStr">
        <is>
          <t>Comms Manager</t>
        </is>
      </c>
      <c r="F977">
        <f>SUMIF($A$2:$A$1594,A977,$D$2:$D$1594)</f>
        <v/>
      </c>
    </row>
    <row r="978">
      <c r="A978" t="inlineStr">
        <is>
          <t>Claussen, Laurence</t>
        </is>
      </c>
      <c r="B978" t="inlineStr">
        <is>
          <t>Honduras</t>
        </is>
      </c>
      <c r="C978" t="inlineStr">
        <is>
          <t>HON02</t>
        </is>
      </c>
      <c r="D978" t="n">
        <v>1.5</v>
      </c>
      <c r="E978" t="inlineStr">
        <is>
          <t>Comms Manager</t>
        </is>
      </c>
      <c r="F978">
        <f>SUMIF($A$2:$A$1594,A978,$D$2:$D$1594)</f>
        <v/>
      </c>
    </row>
    <row r="979">
      <c r="A979" t="inlineStr">
        <is>
          <t>Claussen, Laurence</t>
        </is>
      </c>
      <c r="B979" t="inlineStr">
        <is>
          <t>Honduras</t>
        </is>
      </c>
      <c r="C979" t="inlineStr">
        <is>
          <t>HON03</t>
        </is>
      </c>
      <c r="D979" t="n">
        <v>1.5</v>
      </c>
      <c r="E979" t="inlineStr">
        <is>
          <t>Comms Manager</t>
        </is>
      </c>
      <c r="F979">
        <f>SUMIF($A$2:$A$1594,A979,$D$2:$D$1594)</f>
        <v/>
      </c>
    </row>
    <row r="980">
      <c r="A980" t="inlineStr">
        <is>
          <t>Claussen, Laurence</t>
        </is>
      </c>
      <c r="B980" t="inlineStr">
        <is>
          <t>Honduras</t>
        </is>
      </c>
      <c r="C980" t="inlineStr">
        <is>
          <t>HON04</t>
        </is>
      </c>
      <c r="D980" t="n">
        <v>1.5</v>
      </c>
      <c r="E980" t="inlineStr">
        <is>
          <t>Comms Manager</t>
        </is>
      </c>
      <c r="F980">
        <f>SUMIF($A$2:$A$1594,A980,$D$2:$D$1594)</f>
        <v/>
      </c>
    </row>
    <row r="981">
      <c r="A981" t="inlineStr">
        <is>
          <t>Mathias, John</t>
        </is>
      </c>
      <c r="B981" t="inlineStr">
        <is>
          <t>Honduras</t>
        </is>
      </c>
      <c r="C981" t="inlineStr">
        <is>
          <t>HON01</t>
        </is>
      </c>
      <c r="D981" t="n">
        <v>1.5</v>
      </c>
      <c r="E981" t="inlineStr">
        <is>
          <t>Operations Director</t>
        </is>
      </c>
      <c r="F981">
        <f>SUMIF($A$2:$A$1594,A981,$D$2:$D$1594)</f>
        <v/>
      </c>
    </row>
    <row r="982">
      <c r="A982" t="inlineStr">
        <is>
          <t>Mathias, John</t>
        </is>
      </c>
      <c r="B982" t="inlineStr">
        <is>
          <t>Honduras</t>
        </is>
      </c>
      <c r="C982" t="inlineStr">
        <is>
          <t>HON02</t>
        </is>
      </c>
      <c r="D982" t="n">
        <v>1.5</v>
      </c>
      <c r="E982" t="inlineStr">
        <is>
          <t>Operations Director</t>
        </is>
      </c>
      <c r="F982">
        <f>SUMIF($A$2:$A$1594,A982,$D$2:$D$1594)</f>
        <v/>
      </c>
    </row>
    <row r="983">
      <c r="A983" t="inlineStr">
        <is>
          <t>Mathias, John</t>
        </is>
      </c>
      <c r="B983" t="inlineStr">
        <is>
          <t>Honduras</t>
        </is>
      </c>
      <c r="C983" t="inlineStr">
        <is>
          <t>HON03</t>
        </is>
      </c>
      <c r="D983" t="n">
        <v>1.5</v>
      </c>
      <c r="E983" t="inlineStr">
        <is>
          <t>Operations Director</t>
        </is>
      </c>
      <c r="F983">
        <f>SUMIF($A$2:$A$1594,A983,$D$2:$D$1594)</f>
        <v/>
      </c>
    </row>
    <row r="984">
      <c r="A984" t="inlineStr">
        <is>
          <t>Mathias, John</t>
        </is>
      </c>
      <c r="B984" t="inlineStr">
        <is>
          <t>Honduras</t>
        </is>
      </c>
      <c r="C984" t="inlineStr">
        <is>
          <t>HON04</t>
        </is>
      </c>
      <c r="D984" t="n">
        <v>1.5</v>
      </c>
      <c r="E984" t="inlineStr">
        <is>
          <t>Operations Director</t>
        </is>
      </c>
      <c r="F984">
        <f>SUMIF($A$2:$A$1594,A984,$D$2:$D$1594)</f>
        <v/>
      </c>
    </row>
    <row r="985">
      <c r="A985" t="inlineStr">
        <is>
          <t>Misomali, Mark</t>
        </is>
      </c>
      <c r="B985" t="inlineStr">
        <is>
          <t>Honduras</t>
        </is>
      </c>
      <c r="C985" t="inlineStr">
        <is>
          <t>HON01</t>
        </is>
      </c>
      <c r="D985" t="n">
        <v>1.5</v>
      </c>
      <c r="E985" t="inlineStr">
        <is>
          <t xml:space="preserve">Operations Sr Finance Manager   </t>
        </is>
      </c>
      <c r="F985">
        <f>SUMIF($A$2:$A$1594,A985,$D$2:$D$1594)</f>
        <v/>
      </c>
    </row>
    <row r="986">
      <c r="A986" t="inlineStr">
        <is>
          <t>Misomali, Mark</t>
        </is>
      </c>
      <c r="B986" t="inlineStr">
        <is>
          <t>Honduras</t>
        </is>
      </c>
      <c r="C986" t="inlineStr">
        <is>
          <t>HON02</t>
        </is>
      </c>
      <c r="D986" t="n">
        <v>1.5</v>
      </c>
      <c r="E986" t="inlineStr">
        <is>
          <t xml:space="preserve">Operations Sr Finance Manager   </t>
        </is>
      </c>
      <c r="F986">
        <f>SUMIF($A$2:$A$1594,A986,$D$2:$D$1594)</f>
        <v/>
      </c>
    </row>
    <row r="987">
      <c r="A987" t="inlineStr">
        <is>
          <t>Misomali, Mark</t>
        </is>
      </c>
      <c r="B987" t="inlineStr">
        <is>
          <t>Honduras</t>
        </is>
      </c>
      <c r="C987" t="inlineStr">
        <is>
          <t>HON03</t>
        </is>
      </c>
      <c r="D987" t="n">
        <v>1.5</v>
      </c>
      <c r="E987" t="inlineStr">
        <is>
          <t xml:space="preserve">Operations Sr Finance Manager   </t>
        </is>
      </c>
      <c r="F987">
        <f>SUMIF($A$2:$A$1594,A987,$D$2:$D$1594)</f>
        <v/>
      </c>
    </row>
    <row r="988">
      <c r="A988" t="inlineStr">
        <is>
          <t>Misomali, Mark</t>
        </is>
      </c>
      <c r="B988" t="inlineStr">
        <is>
          <t>Honduras</t>
        </is>
      </c>
      <c r="C988" t="inlineStr">
        <is>
          <t>HON04</t>
        </is>
      </c>
      <c r="D988" t="n">
        <v>1.5</v>
      </c>
      <c r="E988" t="inlineStr">
        <is>
          <t xml:space="preserve">Operations Sr Finance Manager   </t>
        </is>
      </c>
      <c r="F988">
        <f>SUMIF($A$2:$A$1594,A988,$D$2:$D$1594)</f>
        <v/>
      </c>
    </row>
    <row r="989">
      <c r="A989" t="inlineStr">
        <is>
          <t>Noorzai, Mahmood</t>
        </is>
      </c>
      <c r="B989" t="inlineStr">
        <is>
          <t>Honduras</t>
        </is>
      </c>
      <c r="C989" t="inlineStr">
        <is>
          <t>HON01</t>
        </is>
      </c>
      <c r="D989" t="n">
        <v>1.5</v>
      </c>
      <c r="E989" t="inlineStr">
        <is>
          <t>Operations Finance Associate</t>
        </is>
      </c>
      <c r="F989">
        <f>SUMIF($A$2:$A$1594,A989,$D$2:$D$1594)</f>
        <v/>
      </c>
    </row>
    <row r="990">
      <c r="A990" t="inlineStr">
        <is>
          <t>Noorzai, Mahmood</t>
        </is>
      </c>
      <c r="B990" t="inlineStr">
        <is>
          <t>Honduras</t>
        </is>
      </c>
      <c r="C990" t="inlineStr">
        <is>
          <t>HON02</t>
        </is>
      </c>
      <c r="D990" t="n">
        <v>1.5</v>
      </c>
      <c r="E990" t="inlineStr">
        <is>
          <t>Operations Finance Associate</t>
        </is>
      </c>
      <c r="F990">
        <f>SUMIF($A$2:$A$1594,A990,$D$2:$D$1594)</f>
        <v/>
      </c>
    </row>
    <row r="991">
      <c r="A991" t="inlineStr">
        <is>
          <t>Noorzai, Mahmood</t>
        </is>
      </c>
      <c r="B991" t="inlineStr">
        <is>
          <t>Honduras</t>
        </is>
      </c>
      <c r="C991" t="inlineStr">
        <is>
          <t>HON03</t>
        </is>
      </c>
      <c r="D991" t="n">
        <v>1.5</v>
      </c>
      <c r="E991" t="inlineStr">
        <is>
          <t>Operations Finance Associate</t>
        </is>
      </c>
      <c r="F991">
        <f>SUMIF($A$2:$A$1594,A991,$D$2:$D$1594)</f>
        <v/>
      </c>
    </row>
    <row r="992">
      <c r="A992" t="inlineStr">
        <is>
          <t>Noorzai, Mahmood</t>
        </is>
      </c>
      <c r="B992" t="inlineStr">
        <is>
          <t>Honduras</t>
        </is>
      </c>
      <c r="C992" t="inlineStr">
        <is>
          <t>HON04</t>
        </is>
      </c>
      <c r="D992" t="n">
        <v>1.5</v>
      </c>
      <c r="E992" t="inlineStr">
        <is>
          <t>Operations Finance Associate</t>
        </is>
      </c>
      <c r="F992">
        <f>SUMIF($A$2:$A$1594,A992,$D$2:$D$1594)</f>
        <v/>
      </c>
    </row>
    <row r="993">
      <c r="A993" t="inlineStr">
        <is>
          <t>Mawandia, Shreshth</t>
        </is>
      </c>
      <c r="B993" t="inlineStr">
        <is>
          <t>Kenya</t>
        </is>
      </c>
      <c r="C993" t="inlineStr">
        <is>
          <t>KEN01</t>
        </is>
      </c>
      <c r="D993" t="n">
        <v>6</v>
      </c>
      <c r="E993" t="inlineStr">
        <is>
          <t>KP - Project Director</t>
        </is>
      </c>
      <c r="F993">
        <f>SUMIF($A$2:$A$1594,A993,$D$2:$D$1594)</f>
        <v/>
      </c>
    </row>
    <row r="994">
      <c r="A994" t="inlineStr">
        <is>
          <t>Mawandia, Shreshth</t>
        </is>
      </c>
      <c r="B994" t="inlineStr">
        <is>
          <t>Kenya</t>
        </is>
      </c>
      <c r="C994" t="inlineStr">
        <is>
          <t>KEN02</t>
        </is>
      </c>
      <c r="D994" t="n">
        <v>5</v>
      </c>
      <c r="E994" t="inlineStr">
        <is>
          <t>KP - Project Director</t>
        </is>
      </c>
      <c r="F994">
        <f>SUMIF($A$2:$A$1594,A994,$D$2:$D$1594)</f>
        <v/>
      </c>
    </row>
    <row r="995">
      <c r="A995" t="inlineStr">
        <is>
          <t>Nigussie, Netsanet</t>
        </is>
      </c>
      <c r="B995" t="inlineStr">
        <is>
          <t>Kenya</t>
        </is>
      </c>
      <c r="C995" t="inlineStr">
        <is>
          <t>KEN01</t>
        </is>
      </c>
      <c r="D995" t="n">
        <v>6</v>
      </c>
      <c r="E995" t="inlineStr">
        <is>
          <t>KP - Technical Director</t>
        </is>
      </c>
      <c r="F995">
        <f>SUMIF($A$2:$A$1594,A995,$D$2:$D$1594)</f>
        <v/>
      </c>
    </row>
    <row r="996">
      <c r="A996" t="inlineStr">
        <is>
          <t>Nigussie, Netsanet</t>
        </is>
      </c>
      <c r="B996" t="inlineStr">
        <is>
          <t>Kenya</t>
        </is>
      </c>
      <c r="C996" t="inlineStr">
        <is>
          <t>KEN02</t>
        </is>
      </c>
      <c r="D996" t="n">
        <v>5</v>
      </c>
      <c r="E996" t="inlineStr">
        <is>
          <t>KP - Technical Director</t>
        </is>
      </c>
      <c r="F996">
        <f>SUMIF($A$2:$A$1594,A996,$D$2:$D$1594)</f>
        <v/>
      </c>
    </row>
    <row r="997">
      <c r="A997" t="inlineStr">
        <is>
          <t>Mensah, Margaret</t>
        </is>
      </c>
      <c r="B997" t="inlineStr">
        <is>
          <t>Kenya</t>
        </is>
      </c>
      <c r="C997" t="inlineStr">
        <is>
          <t>KEN01</t>
        </is>
      </c>
      <c r="D997" t="n">
        <v>6</v>
      </c>
      <c r="E997" t="inlineStr">
        <is>
          <t>KP - Finance Director</t>
        </is>
      </c>
      <c r="F997">
        <f>SUMIF($A$2:$A$1594,A997,$D$2:$D$1594)</f>
        <v/>
      </c>
    </row>
    <row r="998">
      <c r="A998" t="inlineStr">
        <is>
          <t>Mensah, Margaret</t>
        </is>
      </c>
      <c r="B998" t="inlineStr">
        <is>
          <t>Kenya</t>
        </is>
      </c>
      <c r="C998" t="inlineStr">
        <is>
          <t>KEN02</t>
        </is>
      </c>
      <c r="D998" t="n">
        <v>5</v>
      </c>
      <c r="E998" t="inlineStr">
        <is>
          <t>KP - Finance Director</t>
        </is>
      </c>
      <c r="F998">
        <f>SUMIF($A$2:$A$1594,A998,$D$2:$D$1594)</f>
        <v/>
      </c>
    </row>
    <row r="999">
      <c r="A999" t="inlineStr">
        <is>
          <t>Friedman, Jonathan</t>
        </is>
      </c>
      <c r="B999" t="inlineStr">
        <is>
          <t>Kenya</t>
        </is>
      </c>
      <c r="C999" t="inlineStr">
        <is>
          <t>KEN01</t>
        </is>
      </c>
      <c r="D999" t="n">
        <v>4.3</v>
      </c>
      <c r="E999" t="inlineStr">
        <is>
          <t>AI/ML Lead</t>
        </is>
      </c>
      <c r="F999">
        <f>SUMIF($A$2:$A$1594,A999,$D$2:$D$1594)</f>
        <v/>
      </c>
    </row>
    <row r="1000">
      <c r="A1000" t="inlineStr">
        <is>
          <t>Friedman, Jonathan</t>
        </is>
      </c>
      <c r="B1000" t="inlineStr">
        <is>
          <t>Kenya</t>
        </is>
      </c>
      <c r="C1000" t="inlineStr">
        <is>
          <t>KEN02</t>
        </is>
      </c>
      <c r="D1000" t="n">
        <v>6.49</v>
      </c>
      <c r="E1000" t="inlineStr">
        <is>
          <t>AI/ML Lead</t>
        </is>
      </c>
      <c r="F1000">
        <f>SUMIF($A$2:$A$1594,A1000,$D$2:$D$1594)</f>
        <v/>
      </c>
    </row>
    <row r="1001">
      <c r="A1001" t="inlineStr">
        <is>
          <t>Friedman, Jonathan</t>
        </is>
      </c>
      <c r="B1001" t="inlineStr">
        <is>
          <t>Kenya</t>
        </is>
      </c>
      <c r="C1001" t="inlineStr">
        <is>
          <t>KEN04</t>
        </is>
      </c>
      <c r="D1001" t="n">
        <v>0.21</v>
      </c>
      <c r="E1001" t="inlineStr">
        <is>
          <t>AI/ML Lead</t>
        </is>
      </c>
      <c r="F1001">
        <f>SUMIF($A$2:$A$1594,A1001,$D$2:$D$1594)</f>
        <v/>
      </c>
    </row>
    <row r="1002">
      <c r="A1002" t="inlineStr">
        <is>
          <t>Mavyuva, Boniface</t>
        </is>
      </c>
      <c r="B1002" t="inlineStr">
        <is>
          <t>Kenya</t>
        </is>
      </c>
      <c r="C1002" t="inlineStr">
        <is>
          <t>KEN01</t>
        </is>
      </c>
      <c r="D1002" t="n">
        <v>1.5</v>
      </c>
      <c r="E1002" t="inlineStr">
        <is>
          <t>Dig Infrastructure Lead</t>
        </is>
      </c>
      <c r="F1002">
        <f>SUMIF($A$2:$A$1594,A1002,$D$2:$D$1594)</f>
        <v/>
      </c>
    </row>
    <row r="1003">
      <c r="A1003" t="inlineStr">
        <is>
          <t>Mavyuva, Boniface</t>
        </is>
      </c>
      <c r="B1003" t="inlineStr">
        <is>
          <t>Kenya</t>
        </is>
      </c>
      <c r="C1003" t="inlineStr">
        <is>
          <t>KEN02</t>
        </is>
      </c>
      <c r="D1003" t="n">
        <v>2.5</v>
      </c>
      <c r="E1003" t="inlineStr">
        <is>
          <t>Dig Infrastructure Lead</t>
        </is>
      </c>
      <c r="F1003">
        <f>SUMIF($A$2:$A$1594,A1003,$D$2:$D$1594)</f>
        <v/>
      </c>
    </row>
    <row r="1004">
      <c r="A1004" t="inlineStr">
        <is>
          <t>Ogana, Nelson</t>
        </is>
      </c>
      <c r="B1004" t="inlineStr">
        <is>
          <t>Kenya</t>
        </is>
      </c>
      <c r="C1004" t="inlineStr">
        <is>
          <t>KEN01</t>
        </is>
      </c>
      <c r="D1004" t="n">
        <v>5</v>
      </c>
      <c r="E1004" t="inlineStr">
        <is>
          <t>Infosec Co-Lead - Ogana, Nelson</t>
        </is>
      </c>
      <c r="F1004">
        <f>SUMIF($A$2:$A$1594,A1004,$D$2:$D$1594)</f>
        <v/>
      </c>
    </row>
    <row r="1005">
      <c r="A1005" t="inlineStr">
        <is>
          <t>Ogana, Nelson</t>
        </is>
      </c>
      <c r="B1005" t="inlineStr">
        <is>
          <t>Kenya</t>
        </is>
      </c>
      <c r="C1005" t="inlineStr">
        <is>
          <t>KEN02</t>
        </is>
      </c>
      <c r="D1005" t="n">
        <v>6</v>
      </c>
      <c r="E1005" t="inlineStr">
        <is>
          <t>Infosec Co-Lead - Ogana, Nelson</t>
        </is>
      </c>
      <c r="F1005">
        <f>SUMIF($A$2:$A$1594,A1005,$D$2:$D$1594)</f>
        <v/>
      </c>
    </row>
    <row r="1006">
      <c r="A1006" t="inlineStr">
        <is>
          <t>Showalter, Caitlin</t>
        </is>
      </c>
      <c r="B1006" t="inlineStr">
        <is>
          <t>Kenya</t>
        </is>
      </c>
      <c r="C1006" t="inlineStr">
        <is>
          <t>KEN01</t>
        </is>
      </c>
      <c r="D1006" t="n">
        <v>5</v>
      </c>
      <c r="E1006" t="inlineStr">
        <is>
          <t>M&amp;E and Learning</t>
        </is>
      </c>
      <c r="F1006">
        <f>SUMIF($A$2:$A$1594,A1006,$D$2:$D$1594)</f>
        <v/>
      </c>
    </row>
    <row r="1007">
      <c r="A1007" t="inlineStr">
        <is>
          <t>Showalter, Caitlin</t>
        </is>
      </c>
      <c r="B1007" t="inlineStr">
        <is>
          <t>Kenya</t>
        </is>
      </c>
      <c r="C1007" t="inlineStr">
        <is>
          <t>KEN02</t>
        </is>
      </c>
      <c r="D1007" t="n">
        <v>6</v>
      </c>
      <c r="E1007" t="inlineStr">
        <is>
          <t>M&amp;E and Learning</t>
        </is>
      </c>
      <c r="F1007">
        <f>SUMIF($A$2:$A$1594,A1007,$D$2:$D$1594)</f>
        <v/>
      </c>
    </row>
    <row r="1008">
      <c r="A1008" t="inlineStr">
        <is>
          <t>Miranda Rondon de Ro, Ing</t>
        </is>
      </c>
      <c r="B1008" t="inlineStr">
        <is>
          <t>Kenya</t>
        </is>
      </c>
      <c r="C1008" t="inlineStr">
        <is>
          <t>KEN01</t>
        </is>
      </c>
      <c r="D1008" t="n">
        <v>5</v>
      </c>
      <c r="E1008" t="inlineStr">
        <is>
          <t>M&amp;E and Learning</t>
        </is>
      </c>
      <c r="F1008">
        <f>SUMIF($A$2:$A$1594,A1008,$D$2:$D$1594)</f>
        <v/>
      </c>
    </row>
    <row r="1009">
      <c r="A1009" t="inlineStr">
        <is>
          <t>Miranda Rondon de Ro, Ing</t>
        </is>
      </c>
      <c r="B1009" t="inlineStr">
        <is>
          <t>Kenya</t>
        </is>
      </c>
      <c r="C1009" t="inlineStr">
        <is>
          <t>KEN02</t>
        </is>
      </c>
      <c r="D1009" t="n">
        <v>6</v>
      </c>
      <c r="E1009" t="inlineStr">
        <is>
          <t>M&amp;E and Learning</t>
        </is>
      </c>
      <c r="F1009">
        <f>SUMIF($A$2:$A$1594,A1009,$D$2:$D$1594)</f>
        <v/>
      </c>
    </row>
    <row r="1010">
      <c r="A1010" t="inlineStr">
        <is>
          <t>Sakaguchi, Kevin</t>
        </is>
      </c>
      <c r="B1010" t="inlineStr">
        <is>
          <t>Kenya</t>
        </is>
      </c>
      <c r="C1010" t="inlineStr">
        <is>
          <t>KEN01</t>
        </is>
      </c>
      <c r="D1010" t="n">
        <v>5</v>
      </c>
      <c r="E1010" t="inlineStr">
        <is>
          <t>M&amp;E and Learning</t>
        </is>
      </c>
      <c r="F1010">
        <f>SUMIF($A$2:$A$1594,A1010,$D$2:$D$1594)</f>
        <v/>
      </c>
    </row>
    <row r="1011">
      <c r="A1011" t="inlineStr">
        <is>
          <t>Sakaguchi, Kevin</t>
        </is>
      </c>
      <c r="B1011" t="inlineStr">
        <is>
          <t>Kenya</t>
        </is>
      </c>
      <c r="C1011" t="inlineStr">
        <is>
          <t>KEN02</t>
        </is>
      </c>
      <c r="D1011" t="n">
        <v>6</v>
      </c>
      <c r="E1011" t="inlineStr">
        <is>
          <t>M&amp;E and Learning</t>
        </is>
      </c>
      <c r="F1011">
        <f>SUMIF($A$2:$A$1594,A1011,$D$2:$D$1594)</f>
        <v/>
      </c>
    </row>
    <row r="1012">
      <c r="A1012" t="inlineStr">
        <is>
          <t>Claussen, Laurence</t>
        </is>
      </c>
      <c r="B1012" t="inlineStr">
        <is>
          <t>Kenya</t>
        </is>
      </c>
      <c r="C1012" t="inlineStr">
        <is>
          <t>KEN01</t>
        </is>
      </c>
      <c r="D1012" t="n">
        <v>5</v>
      </c>
      <c r="E1012" t="inlineStr">
        <is>
          <t>Comms Manager</t>
        </is>
      </c>
      <c r="F1012">
        <f>SUMIF($A$2:$A$1594,A1012,$D$2:$D$1594)</f>
        <v/>
      </c>
    </row>
    <row r="1013">
      <c r="A1013" t="inlineStr">
        <is>
          <t>Claussen, Laurence</t>
        </is>
      </c>
      <c r="B1013" t="inlineStr">
        <is>
          <t>Kenya</t>
        </is>
      </c>
      <c r="C1013" t="inlineStr">
        <is>
          <t>KEN02</t>
        </is>
      </c>
      <c r="D1013" t="n">
        <v>6</v>
      </c>
      <c r="E1013" t="inlineStr">
        <is>
          <t>Comms Manager</t>
        </is>
      </c>
      <c r="F1013">
        <f>SUMIF($A$2:$A$1594,A1013,$D$2:$D$1594)</f>
        <v/>
      </c>
    </row>
    <row r="1014">
      <c r="A1014" t="inlineStr">
        <is>
          <t>Hunihan, Anne</t>
        </is>
      </c>
      <c r="B1014" t="inlineStr">
        <is>
          <t>Kenya</t>
        </is>
      </c>
      <c r="C1014" t="inlineStr">
        <is>
          <t>KEN01</t>
        </is>
      </c>
      <c r="D1014" t="n">
        <v>37</v>
      </c>
      <c r="E1014" t="inlineStr">
        <is>
          <t>Associate Pool</t>
        </is>
      </c>
      <c r="F1014">
        <f>SUMIF($A$2:$A$1594,A1014,$D$2:$D$1594)</f>
        <v/>
      </c>
    </row>
    <row r="1015">
      <c r="A1015" t="inlineStr">
        <is>
          <t>Hunihan, Anne</t>
        </is>
      </c>
      <c r="B1015" t="inlineStr">
        <is>
          <t>Kenya</t>
        </is>
      </c>
      <c r="C1015" t="inlineStr">
        <is>
          <t>KEN02</t>
        </is>
      </c>
      <c r="D1015" t="n">
        <v>41</v>
      </c>
      <c r="E1015" t="inlineStr">
        <is>
          <t>Associate Pool</t>
        </is>
      </c>
      <c r="F1015">
        <f>SUMIF($A$2:$A$1594,A1015,$D$2:$D$1594)</f>
        <v/>
      </c>
    </row>
    <row r="1016">
      <c r="A1016" t="inlineStr">
        <is>
          <t>Hunihan, Anne</t>
        </is>
      </c>
      <c r="B1016" t="inlineStr">
        <is>
          <t>Kenya</t>
        </is>
      </c>
      <c r="C1016" t="inlineStr">
        <is>
          <t>KEN03</t>
        </is>
      </c>
      <c r="D1016" t="n">
        <v>1</v>
      </c>
      <c r="E1016" t="inlineStr">
        <is>
          <t>Associate Pool</t>
        </is>
      </c>
      <c r="F1016">
        <f>SUMIF($A$2:$A$1594,A1016,$D$2:$D$1594)</f>
        <v/>
      </c>
    </row>
    <row r="1017">
      <c r="A1017" t="inlineStr">
        <is>
          <t>Hunihan, Anne</t>
        </is>
      </c>
      <c r="B1017" t="inlineStr">
        <is>
          <t>Kenya</t>
        </is>
      </c>
      <c r="C1017" t="inlineStr">
        <is>
          <t>KEN04</t>
        </is>
      </c>
      <c r="D1017" t="n">
        <v>2</v>
      </c>
      <c r="E1017" t="inlineStr">
        <is>
          <t>Associate Pool</t>
        </is>
      </c>
      <c r="F1017">
        <f>SUMIF($A$2:$A$1594,A1017,$D$2:$D$1594)</f>
        <v/>
      </c>
    </row>
    <row r="1018">
      <c r="A1018" t="inlineStr">
        <is>
          <t>Hunihan, Anne</t>
        </is>
      </c>
      <c r="B1018" t="inlineStr">
        <is>
          <t>Kenya</t>
        </is>
      </c>
      <c r="C1018" t="inlineStr">
        <is>
          <t>KEN06</t>
        </is>
      </c>
      <c r="D1018" t="n">
        <v>14</v>
      </c>
      <c r="E1018" t="inlineStr">
        <is>
          <t>Associate Pool</t>
        </is>
      </c>
      <c r="F1018">
        <f>SUMIF($A$2:$A$1594,A1018,$D$2:$D$1594)</f>
        <v/>
      </c>
    </row>
    <row r="1019">
      <c r="A1019" t="inlineStr">
        <is>
          <t>Mathias, John</t>
        </is>
      </c>
      <c r="B1019" t="inlineStr">
        <is>
          <t>Kenya</t>
        </is>
      </c>
      <c r="C1019" t="inlineStr">
        <is>
          <t>KEN01</t>
        </is>
      </c>
      <c r="D1019" t="n">
        <v>4</v>
      </c>
      <c r="E1019" t="inlineStr">
        <is>
          <t>Operations Director</t>
        </is>
      </c>
      <c r="F1019">
        <f>SUMIF($A$2:$A$1594,A1019,$D$2:$D$1594)</f>
        <v/>
      </c>
    </row>
    <row r="1020">
      <c r="A1020" t="inlineStr">
        <is>
          <t>Mathias, John</t>
        </is>
      </c>
      <c r="B1020" t="inlineStr">
        <is>
          <t>Kenya</t>
        </is>
      </c>
      <c r="C1020" t="inlineStr">
        <is>
          <t>KEN02</t>
        </is>
      </c>
      <c r="D1020" t="n">
        <v>4</v>
      </c>
      <c r="E1020" t="inlineStr">
        <is>
          <t>Operations Director</t>
        </is>
      </c>
      <c r="F1020">
        <f>SUMIF($A$2:$A$1594,A1020,$D$2:$D$1594)</f>
        <v/>
      </c>
    </row>
    <row r="1021">
      <c r="A1021" t="inlineStr">
        <is>
          <t>Mathias, John</t>
        </is>
      </c>
      <c r="B1021" t="inlineStr">
        <is>
          <t>Kenya</t>
        </is>
      </c>
      <c r="C1021" t="inlineStr">
        <is>
          <t>KEN03</t>
        </is>
      </c>
      <c r="D1021" t="n">
        <v>1</v>
      </c>
      <c r="E1021" t="inlineStr">
        <is>
          <t>Operations Director</t>
        </is>
      </c>
      <c r="F1021">
        <f>SUMIF($A$2:$A$1594,A1021,$D$2:$D$1594)</f>
        <v/>
      </c>
    </row>
    <row r="1022">
      <c r="A1022" t="inlineStr">
        <is>
          <t>Mathias, John</t>
        </is>
      </c>
      <c r="B1022" t="inlineStr">
        <is>
          <t>Kenya</t>
        </is>
      </c>
      <c r="C1022" t="inlineStr">
        <is>
          <t>KEN06</t>
        </is>
      </c>
      <c r="D1022" t="n">
        <v>2</v>
      </c>
      <c r="E1022" t="inlineStr">
        <is>
          <t>Operations Director</t>
        </is>
      </c>
      <c r="F1022">
        <f>SUMIF($A$2:$A$1594,A1022,$D$2:$D$1594)</f>
        <v/>
      </c>
    </row>
    <row r="1023">
      <c r="A1023" t="inlineStr">
        <is>
          <t>Misomali, Mark</t>
        </is>
      </c>
      <c r="B1023" t="inlineStr">
        <is>
          <t>Kenya</t>
        </is>
      </c>
      <c r="C1023" t="inlineStr">
        <is>
          <t>KEN01</t>
        </is>
      </c>
      <c r="D1023" t="n">
        <v>4</v>
      </c>
      <c r="E1023" t="inlineStr">
        <is>
          <t xml:space="preserve">Operations Sr Finance Manager   </t>
        </is>
      </c>
      <c r="F1023">
        <f>SUMIF($A$2:$A$1594,A1023,$D$2:$D$1594)</f>
        <v/>
      </c>
    </row>
    <row r="1024">
      <c r="A1024" t="inlineStr">
        <is>
          <t>Misomali, Mark</t>
        </is>
      </c>
      <c r="B1024" t="inlineStr">
        <is>
          <t>Kenya</t>
        </is>
      </c>
      <c r="C1024" t="inlineStr">
        <is>
          <t>KEN02</t>
        </is>
      </c>
      <c r="D1024" t="n">
        <v>4</v>
      </c>
      <c r="E1024" t="inlineStr">
        <is>
          <t xml:space="preserve">Operations Sr Finance Manager   </t>
        </is>
      </c>
      <c r="F1024">
        <f>SUMIF($A$2:$A$1594,A1024,$D$2:$D$1594)</f>
        <v/>
      </c>
    </row>
    <row r="1025">
      <c r="A1025" t="inlineStr">
        <is>
          <t>Misomali, Mark</t>
        </is>
      </c>
      <c r="B1025" t="inlineStr">
        <is>
          <t>Kenya</t>
        </is>
      </c>
      <c r="C1025" t="inlineStr">
        <is>
          <t>KEN03</t>
        </is>
      </c>
      <c r="D1025" t="n">
        <v>1</v>
      </c>
      <c r="E1025" t="inlineStr">
        <is>
          <t xml:space="preserve">Operations Sr Finance Manager   </t>
        </is>
      </c>
      <c r="F1025">
        <f>SUMIF($A$2:$A$1594,A1025,$D$2:$D$1594)</f>
        <v/>
      </c>
    </row>
    <row r="1026">
      <c r="A1026" t="inlineStr">
        <is>
          <t>Misomali, Mark</t>
        </is>
      </c>
      <c r="B1026" t="inlineStr">
        <is>
          <t>Kenya</t>
        </is>
      </c>
      <c r="C1026" t="inlineStr">
        <is>
          <t>KEN06</t>
        </is>
      </c>
      <c r="D1026" t="n">
        <v>2</v>
      </c>
      <c r="E1026" t="inlineStr">
        <is>
          <t xml:space="preserve">Operations Sr Finance Manager   </t>
        </is>
      </c>
      <c r="F1026">
        <f>SUMIF($A$2:$A$1594,A1026,$D$2:$D$1594)</f>
        <v/>
      </c>
    </row>
    <row r="1027">
      <c r="A1027" t="inlineStr">
        <is>
          <t>Noorzai, Mahmood</t>
        </is>
      </c>
      <c r="B1027" t="inlineStr">
        <is>
          <t>Kenya</t>
        </is>
      </c>
      <c r="C1027" t="inlineStr">
        <is>
          <t>KEN01</t>
        </is>
      </c>
      <c r="D1027" t="n">
        <v>4</v>
      </c>
      <c r="E1027" t="inlineStr">
        <is>
          <t>Operations Finance Associate</t>
        </is>
      </c>
      <c r="F1027">
        <f>SUMIF($A$2:$A$1594,A1027,$D$2:$D$1594)</f>
        <v/>
      </c>
    </row>
    <row r="1028">
      <c r="A1028" t="inlineStr">
        <is>
          <t>Noorzai, Mahmood</t>
        </is>
      </c>
      <c r="B1028" t="inlineStr">
        <is>
          <t>Kenya</t>
        </is>
      </c>
      <c r="C1028" t="inlineStr">
        <is>
          <t>KEN02</t>
        </is>
      </c>
      <c r="D1028" t="n">
        <v>4</v>
      </c>
      <c r="E1028" t="inlineStr">
        <is>
          <t>Operations Finance Associate</t>
        </is>
      </c>
      <c r="F1028">
        <f>SUMIF($A$2:$A$1594,A1028,$D$2:$D$1594)</f>
        <v/>
      </c>
    </row>
    <row r="1029">
      <c r="A1029" t="inlineStr">
        <is>
          <t>Noorzai, Mahmood</t>
        </is>
      </c>
      <c r="B1029" t="inlineStr">
        <is>
          <t>Kenya</t>
        </is>
      </c>
      <c r="C1029" t="inlineStr">
        <is>
          <t>KEN03</t>
        </is>
      </c>
      <c r="D1029" t="n">
        <v>1</v>
      </c>
      <c r="E1029" t="inlineStr">
        <is>
          <t>Operations Finance Associate</t>
        </is>
      </c>
      <c r="F1029">
        <f>SUMIF($A$2:$A$1594,A1029,$D$2:$D$1594)</f>
        <v/>
      </c>
    </row>
    <row r="1030">
      <c r="A1030" t="inlineStr">
        <is>
          <t>Noorzai, Mahmood</t>
        </is>
      </c>
      <c r="B1030" t="inlineStr">
        <is>
          <t>Kenya</t>
        </is>
      </c>
      <c r="C1030" t="inlineStr">
        <is>
          <t>KEN06</t>
        </is>
      </c>
      <c r="D1030" t="n">
        <v>2</v>
      </c>
      <c r="E1030" t="inlineStr">
        <is>
          <t>Operations Finance Associate</t>
        </is>
      </c>
      <c r="F1030">
        <f>SUMIF($A$2:$A$1594,A1030,$D$2:$D$1594)</f>
        <v/>
      </c>
    </row>
    <row r="1031">
      <c r="A1031" t="inlineStr">
        <is>
          <t>Nabeel, Shayan</t>
        </is>
      </c>
      <c r="B1031" t="inlineStr">
        <is>
          <t>Kenya</t>
        </is>
      </c>
      <c r="C1031" t="inlineStr">
        <is>
          <t>KEN01</t>
        </is>
      </c>
      <c r="D1031" t="n">
        <v>23</v>
      </c>
      <c r="E1031" t="inlineStr">
        <is>
          <t>Operations Manager level - 16</t>
        </is>
      </c>
      <c r="F1031">
        <f>SUMIF($A$2:$A$1594,A1031,$D$2:$D$1594)</f>
        <v/>
      </c>
    </row>
    <row r="1032">
      <c r="A1032" t="inlineStr">
        <is>
          <t>Nabeel, Shayan</t>
        </is>
      </c>
      <c r="B1032" t="inlineStr">
        <is>
          <t>Kenya</t>
        </is>
      </c>
      <c r="C1032" t="inlineStr">
        <is>
          <t>KEN02</t>
        </is>
      </c>
      <c r="D1032" t="n">
        <v>30</v>
      </c>
      <c r="E1032" t="inlineStr">
        <is>
          <t>Operations Manager level - 16</t>
        </is>
      </c>
      <c r="F1032">
        <f>SUMIF($A$2:$A$1594,A1032,$D$2:$D$1594)</f>
        <v/>
      </c>
    </row>
    <row r="1033">
      <c r="A1033" t="inlineStr">
        <is>
          <t>Nabeel, Shayan</t>
        </is>
      </c>
      <c r="B1033" t="inlineStr">
        <is>
          <t>Kenya</t>
        </is>
      </c>
      <c r="C1033" t="inlineStr">
        <is>
          <t>KEN03</t>
        </is>
      </c>
      <c r="D1033" t="n">
        <v>11</v>
      </c>
      <c r="E1033" t="inlineStr">
        <is>
          <t>Operations Manager level - 16</t>
        </is>
      </c>
      <c r="F1033">
        <f>SUMIF($A$2:$A$1594,A1033,$D$2:$D$1594)</f>
        <v/>
      </c>
    </row>
    <row r="1034">
      <c r="A1034" t="inlineStr">
        <is>
          <t>Nabeel, Shayan</t>
        </is>
      </c>
      <c r="B1034" t="inlineStr">
        <is>
          <t>Kenya</t>
        </is>
      </c>
      <c r="C1034" t="inlineStr">
        <is>
          <t>KEN06</t>
        </is>
      </c>
      <c r="D1034" t="n">
        <v>12</v>
      </c>
      <c r="E1034" t="inlineStr">
        <is>
          <t>Operations Manager level - 16</t>
        </is>
      </c>
      <c r="F1034">
        <f>SUMIF($A$2:$A$1594,A1034,$D$2:$D$1594)</f>
        <v/>
      </c>
    </row>
    <row r="1035">
      <c r="A1035" t="inlineStr">
        <is>
          <t>Nabeel, Shayan</t>
        </is>
      </c>
      <c r="B1035" t="inlineStr">
        <is>
          <t>Kenya</t>
        </is>
      </c>
      <c r="C1035" t="inlineStr">
        <is>
          <t>KEN07</t>
        </is>
      </c>
      <c r="D1035" t="n">
        <v>4</v>
      </c>
      <c r="E1035" t="inlineStr">
        <is>
          <t>Operations Manager level - 16</t>
        </is>
      </c>
      <c r="F1035">
        <f>SUMIF($A$2:$A$1594,A1035,$D$2:$D$1594)</f>
        <v/>
      </c>
    </row>
    <row r="1036">
      <c r="A1036" t="inlineStr">
        <is>
          <t>Mawandia, Shreshth</t>
        </is>
      </c>
      <c r="B1036" t="inlineStr">
        <is>
          <t>Lesotho</t>
        </is>
      </c>
      <c r="C1036" t="inlineStr">
        <is>
          <t>LES01</t>
        </is>
      </c>
      <c r="D1036" t="n">
        <v>0.57</v>
      </c>
      <c r="E1036" t="inlineStr">
        <is>
          <t>KP - Project Director</t>
        </is>
      </c>
      <c r="F1036">
        <f>SUMIF($A$2:$A$1594,A1036,$D$2:$D$1594)</f>
        <v/>
      </c>
    </row>
    <row r="1037">
      <c r="A1037" t="inlineStr">
        <is>
          <t>Mawandia, Shreshth</t>
        </is>
      </c>
      <c r="B1037" t="inlineStr">
        <is>
          <t>Lesotho</t>
        </is>
      </c>
      <c r="C1037" t="inlineStr">
        <is>
          <t>LES02</t>
        </is>
      </c>
      <c r="D1037" t="n">
        <v>0.57</v>
      </c>
      <c r="E1037" t="inlineStr">
        <is>
          <t>KP - Project Director</t>
        </is>
      </c>
      <c r="F1037">
        <f>SUMIF($A$2:$A$1594,A1037,$D$2:$D$1594)</f>
        <v/>
      </c>
    </row>
    <row r="1038">
      <c r="A1038" t="inlineStr">
        <is>
          <t>Mawandia, Shreshth</t>
        </is>
      </c>
      <c r="B1038" t="inlineStr">
        <is>
          <t>Lesotho</t>
        </is>
      </c>
      <c r="C1038" t="inlineStr">
        <is>
          <t>LES03</t>
        </is>
      </c>
      <c r="D1038" t="n">
        <v>0.57</v>
      </c>
      <c r="E1038" t="inlineStr">
        <is>
          <t>KP - Project Director</t>
        </is>
      </c>
      <c r="F1038">
        <f>SUMIF($A$2:$A$1594,A1038,$D$2:$D$1594)</f>
        <v/>
      </c>
    </row>
    <row r="1039">
      <c r="A1039" t="inlineStr">
        <is>
          <t>Mawandia, Shreshth</t>
        </is>
      </c>
      <c r="B1039" t="inlineStr">
        <is>
          <t>Lesotho</t>
        </is>
      </c>
      <c r="C1039" t="inlineStr">
        <is>
          <t>LES04</t>
        </is>
      </c>
      <c r="D1039" t="n">
        <v>0.57</v>
      </c>
      <c r="E1039" t="inlineStr">
        <is>
          <t>KP - Project Director</t>
        </is>
      </c>
      <c r="F1039">
        <f>SUMIF($A$2:$A$1594,A1039,$D$2:$D$1594)</f>
        <v/>
      </c>
    </row>
    <row r="1040">
      <c r="A1040" t="inlineStr">
        <is>
          <t>Mawandia, Shreshth</t>
        </is>
      </c>
      <c r="B1040" t="inlineStr">
        <is>
          <t>Lesotho</t>
        </is>
      </c>
      <c r="C1040" t="inlineStr">
        <is>
          <t>LES05</t>
        </is>
      </c>
      <c r="D1040" t="n">
        <v>0.57</v>
      </c>
      <c r="E1040" t="inlineStr">
        <is>
          <t>KP - Project Director</t>
        </is>
      </c>
      <c r="F1040">
        <f>SUMIF($A$2:$A$1594,A1040,$D$2:$D$1594)</f>
        <v/>
      </c>
    </row>
    <row r="1041">
      <c r="A1041" t="inlineStr">
        <is>
          <t>Mawandia, Shreshth</t>
        </is>
      </c>
      <c r="B1041" t="inlineStr">
        <is>
          <t>Lesotho</t>
        </is>
      </c>
      <c r="C1041" t="inlineStr">
        <is>
          <t>LES06</t>
        </is>
      </c>
      <c r="D1041" t="n">
        <v>0.57</v>
      </c>
      <c r="E1041" t="inlineStr">
        <is>
          <t>KP - Project Director</t>
        </is>
      </c>
      <c r="F1041">
        <f>SUMIF($A$2:$A$1594,A1041,$D$2:$D$1594)</f>
        <v/>
      </c>
    </row>
    <row r="1042">
      <c r="A1042" t="inlineStr">
        <is>
          <t>Mawandia, Shreshth</t>
        </is>
      </c>
      <c r="B1042" t="inlineStr">
        <is>
          <t>Lesotho</t>
        </is>
      </c>
      <c r="C1042" t="inlineStr">
        <is>
          <t>LES07</t>
        </is>
      </c>
      <c r="D1042" t="n">
        <v>0.58</v>
      </c>
      <c r="E1042" t="inlineStr">
        <is>
          <t>KP - Project Director</t>
        </is>
      </c>
      <c r="F1042">
        <f>SUMIF($A$2:$A$1594,A1042,$D$2:$D$1594)</f>
        <v/>
      </c>
    </row>
    <row r="1043">
      <c r="A1043" t="inlineStr">
        <is>
          <t>Nigussie, Netsanet</t>
        </is>
      </c>
      <c r="B1043" t="inlineStr">
        <is>
          <t>Lesotho</t>
        </is>
      </c>
      <c r="C1043" t="inlineStr">
        <is>
          <t>LES01</t>
        </is>
      </c>
      <c r="D1043" t="n">
        <v>0.57</v>
      </c>
      <c r="E1043" t="inlineStr">
        <is>
          <t>KP - Technical Director</t>
        </is>
      </c>
      <c r="F1043">
        <f>SUMIF($A$2:$A$1594,A1043,$D$2:$D$1594)</f>
        <v/>
      </c>
    </row>
    <row r="1044">
      <c r="A1044" t="inlineStr">
        <is>
          <t>Nigussie, Netsanet</t>
        </is>
      </c>
      <c r="B1044" t="inlineStr">
        <is>
          <t>Lesotho</t>
        </is>
      </c>
      <c r="C1044" t="inlineStr">
        <is>
          <t>LES02</t>
        </is>
      </c>
      <c r="D1044" t="n">
        <v>0.57</v>
      </c>
      <c r="E1044" t="inlineStr">
        <is>
          <t>KP - Technical Director</t>
        </is>
      </c>
      <c r="F1044">
        <f>SUMIF($A$2:$A$1594,A1044,$D$2:$D$1594)</f>
        <v/>
      </c>
    </row>
    <row r="1045">
      <c r="A1045" t="inlineStr">
        <is>
          <t>Nigussie, Netsanet</t>
        </is>
      </c>
      <c r="B1045" t="inlineStr">
        <is>
          <t>Lesotho</t>
        </is>
      </c>
      <c r="C1045" t="inlineStr">
        <is>
          <t>LES03</t>
        </is>
      </c>
      <c r="D1045" t="n">
        <v>0.57</v>
      </c>
      <c r="E1045" t="inlineStr">
        <is>
          <t>KP - Technical Director</t>
        </is>
      </c>
      <c r="F1045">
        <f>SUMIF($A$2:$A$1594,A1045,$D$2:$D$1594)</f>
        <v/>
      </c>
    </row>
    <row r="1046">
      <c r="A1046" t="inlineStr">
        <is>
          <t>Nigussie, Netsanet</t>
        </is>
      </c>
      <c r="B1046" t="inlineStr">
        <is>
          <t>Lesotho</t>
        </is>
      </c>
      <c r="C1046" t="inlineStr">
        <is>
          <t>LES04</t>
        </is>
      </c>
      <c r="D1046" t="n">
        <v>0.57</v>
      </c>
      <c r="E1046" t="inlineStr">
        <is>
          <t>KP - Technical Director</t>
        </is>
      </c>
      <c r="F1046">
        <f>SUMIF($A$2:$A$1594,A1046,$D$2:$D$1594)</f>
        <v/>
      </c>
    </row>
    <row r="1047">
      <c r="A1047" t="inlineStr">
        <is>
          <t>Nigussie, Netsanet</t>
        </is>
      </c>
      <c r="B1047" t="inlineStr">
        <is>
          <t>Lesotho</t>
        </is>
      </c>
      <c r="C1047" t="inlineStr">
        <is>
          <t>LES05</t>
        </is>
      </c>
      <c r="D1047" t="n">
        <v>0.57</v>
      </c>
      <c r="E1047" t="inlineStr">
        <is>
          <t>KP - Technical Director</t>
        </is>
      </c>
      <c r="F1047">
        <f>SUMIF($A$2:$A$1594,A1047,$D$2:$D$1594)</f>
        <v/>
      </c>
    </row>
    <row r="1048">
      <c r="A1048" t="inlineStr">
        <is>
          <t>Nigussie, Netsanet</t>
        </is>
      </c>
      <c r="B1048" t="inlineStr">
        <is>
          <t>Lesotho</t>
        </is>
      </c>
      <c r="C1048" t="inlineStr">
        <is>
          <t>LES06</t>
        </is>
      </c>
      <c r="D1048" t="n">
        <v>0.57</v>
      </c>
      <c r="E1048" t="inlineStr">
        <is>
          <t>KP - Technical Director</t>
        </is>
      </c>
      <c r="F1048">
        <f>SUMIF($A$2:$A$1594,A1048,$D$2:$D$1594)</f>
        <v/>
      </c>
    </row>
    <row r="1049">
      <c r="A1049" t="inlineStr">
        <is>
          <t>Nigussie, Netsanet</t>
        </is>
      </c>
      <c r="B1049" t="inlineStr">
        <is>
          <t>Lesotho</t>
        </is>
      </c>
      <c r="C1049" t="inlineStr">
        <is>
          <t>LES07</t>
        </is>
      </c>
      <c r="D1049" t="n">
        <v>0.58</v>
      </c>
      <c r="E1049" t="inlineStr">
        <is>
          <t>KP - Technical Director</t>
        </is>
      </c>
      <c r="F1049">
        <f>SUMIF($A$2:$A$1594,A1049,$D$2:$D$1594)</f>
        <v/>
      </c>
    </row>
    <row r="1050">
      <c r="A1050" t="inlineStr">
        <is>
          <t>Mensah, Margaret</t>
        </is>
      </c>
      <c r="B1050" t="inlineStr">
        <is>
          <t>Lesotho</t>
        </is>
      </c>
      <c r="C1050" t="inlineStr">
        <is>
          <t>LES01</t>
        </is>
      </c>
      <c r="D1050" t="n">
        <v>0.57</v>
      </c>
      <c r="E1050" t="inlineStr">
        <is>
          <t>KP - Finance Director</t>
        </is>
      </c>
      <c r="F1050">
        <f>SUMIF($A$2:$A$1594,A1050,$D$2:$D$1594)</f>
        <v/>
      </c>
    </row>
    <row r="1051">
      <c r="A1051" t="inlineStr">
        <is>
          <t>Mensah, Margaret</t>
        </is>
      </c>
      <c r="B1051" t="inlineStr">
        <is>
          <t>Lesotho</t>
        </is>
      </c>
      <c r="C1051" t="inlineStr">
        <is>
          <t>LES02</t>
        </is>
      </c>
      <c r="D1051" t="n">
        <v>0.57</v>
      </c>
      <c r="E1051" t="inlineStr">
        <is>
          <t>KP - Finance Director</t>
        </is>
      </c>
      <c r="F1051">
        <f>SUMIF($A$2:$A$1594,A1051,$D$2:$D$1594)</f>
        <v/>
      </c>
    </row>
    <row r="1052">
      <c r="A1052" t="inlineStr">
        <is>
          <t>Mensah, Margaret</t>
        </is>
      </c>
      <c r="B1052" t="inlineStr">
        <is>
          <t>Lesotho</t>
        </is>
      </c>
      <c r="C1052" t="inlineStr">
        <is>
          <t>LES03</t>
        </is>
      </c>
      <c r="D1052" t="n">
        <v>0.57</v>
      </c>
      <c r="E1052" t="inlineStr">
        <is>
          <t>KP - Finance Director</t>
        </is>
      </c>
      <c r="F1052">
        <f>SUMIF($A$2:$A$1594,A1052,$D$2:$D$1594)</f>
        <v/>
      </c>
    </row>
    <row r="1053">
      <c r="A1053" t="inlineStr">
        <is>
          <t>Mensah, Margaret</t>
        </is>
      </c>
      <c r="B1053" t="inlineStr">
        <is>
          <t>Lesotho</t>
        </is>
      </c>
      <c r="C1053" t="inlineStr">
        <is>
          <t>LES04</t>
        </is>
      </c>
      <c r="D1053" t="n">
        <v>0.57</v>
      </c>
      <c r="E1053" t="inlineStr">
        <is>
          <t>KP - Finance Director</t>
        </is>
      </c>
      <c r="F1053">
        <f>SUMIF($A$2:$A$1594,A1053,$D$2:$D$1594)</f>
        <v/>
      </c>
    </row>
    <row r="1054">
      <c r="A1054" t="inlineStr">
        <is>
          <t>Mensah, Margaret</t>
        </is>
      </c>
      <c r="B1054" t="inlineStr">
        <is>
          <t>Lesotho</t>
        </is>
      </c>
      <c r="C1054" t="inlineStr">
        <is>
          <t>LES05</t>
        </is>
      </c>
      <c r="D1054" t="n">
        <v>0.57</v>
      </c>
      <c r="E1054" t="inlineStr">
        <is>
          <t>KP - Finance Director</t>
        </is>
      </c>
      <c r="F1054">
        <f>SUMIF($A$2:$A$1594,A1054,$D$2:$D$1594)</f>
        <v/>
      </c>
    </row>
    <row r="1055">
      <c r="A1055" t="inlineStr">
        <is>
          <t>Mensah, Margaret</t>
        </is>
      </c>
      <c r="B1055" t="inlineStr">
        <is>
          <t>Lesotho</t>
        </is>
      </c>
      <c r="C1055" t="inlineStr">
        <is>
          <t>LES06</t>
        </is>
      </c>
      <c r="D1055" t="n">
        <v>0.57</v>
      </c>
      <c r="E1055" t="inlineStr">
        <is>
          <t>KP - Finance Director</t>
        </is>
      </c>
      <c r="F1055">
        <f>SUMIF($A$2:$A$1594,A1055,$D$2:$D$1594)</f>
        <v/>
      </c>
    </row>
    <row r="1056">
      <c r="A1056" t="inlineStr">
        <is>
          <t>Mensah, Margaret</t>
        </is>
      </c>
      <c r="B1056" t="inlineStr">
        <is>
          <t>Lesotho</t>
        </is>
      </c>
      <c r="C1056" t="inlineStr">
        <is>
          <t>LES07</t>
        </is>
      </c>
      <c r="D1056" t="n">
        <v>0.58</v>
      </c>
      <c r="E1056" t="inlineStr">
        <is>
          <t>KP - Finance Director</t>
        </is>
      </c>
      <c r="F1056">
        <f>SUMIF($A$2:$A$1594,A1056,$D$2:$D$1594)</f>
        <v/>
      </c>
    </row>
    <row r="1057">
      <c r="A1057" t="inlineStr">
        <is>
          <t>Friedman, Jonathan</t>
        </is>
      </c>
      <c r="B1057" t="inlineStr">
        <is>
          <t>Lesotho</t>
        </is>
      </c>
      <c r="C1057" t="inlineStr">
        <is>
          <t>LES01</t>
        </is>
      </c>
      <c r="D1057" t="n">
        <v>0.57</v>
      </c>
      <c r="E1057" t="inlineStr">
        <is>
          <t>AI/ML Lead</t>
        </is>
      </c>
      <c r="F1057">
        <f>SUMIF($A$2:$A$1594,A1057,$D$2:$D$1594)</f>
        <v/>
      </c>
    </row>
    <row r="1058">
      <c r="A1058" t="inlineStr">
        <is>
          <t>Friedman, Jonathan</t>
        </is>
      </c>
      <c r="B1058" t="inlineStr">
        <is>
          <t>Lesotho</t>
        </is>
      </c>
      <c r="C1058" t="inlineStr">
        <is>
          <t>LES02</t>
        </is>
      </c>
      <c r="D1058" t="n">
        <v>0.57</v>
      </c>
      <c r="E1058" t="inlineStr">
        <is>
          <t>AI/ML Lead</t>
        </is>
      </c>
      <c r="F1058">
        <f>SUMIF($A$2:$A$1594,A1058,$D$2:$D$1594)</f>
        <v/>
      </c>
    </row>
    <row r="1059">
      <c r="A1059" t="inlineStr">
        <is>
          <t>Friedman, Jonathan</t>
        </is>
      </c>
      <c r="B1059" t="inlineStr">
        <is>
          <t>Lesotho</t>
        </is>
      </c>
      <c r="C1059" t="inlineStr">
        <is>
          <t>LES03</t>
        </is>
      </c>
      <c r="D1059" t="n">
        <v>0.57</v>
      </c>
      <c r="E1059" t="inlineStr">
        <is>
          <t>AI/ML Lead</t>
        </is>
      </c>
      <c r="F1059">
        <f>SUMIF($A$2:$A$1594,A1059,$D$2:$D$1594)</f>
        <v/>
      </c>
    </row>
    <row r="1060">
      <c r="A1060" t="inlineStr">
        <is>
          <t>Friedman, Jonathan</t>
        </is>
      </c>
      <c r="B1060" t="inlineStr">
        <is>
          <t>Lesotho</t>
        </is>
      </c>
      <c r="C1060" t="inlineStr">
        <is>
          <t>LES04</t>
        </is>
      </c>
      <c r="D1060" t="n">
        <v>0.57</v>
      </c>
      <c r="E1060" t="inlineStr">
        <is>
          <t>AI/ML Lead</t>
        </is>
      </c>
      <c r="F1060">
        <f>SUMIF($A$2:$A$1594,A1060,$D$2:$D$1594)</f>
        <v/>
      </c>
    </row>
    <row r="1061">
      <c r="A1061" t="inlineStr">
        <is>
          <t>Friedman, Jonathan</t>
        </is>
      </c>
      <c r="B1061" t="inlineStr">
        <is>
          <t>Lesotho</t>
        </is>
      </c>
      <c r="C1061" t="inlineStr">
        <is>
          <t>LES05</t>
        </is>
      </c>
      <c r="D1061" t="n">
        <v>0.57</v>
      </c>
      <c r="E1061" t="inlineStr">
        <is>
          <t>AI/ML Lead</t>
        </is>
      </c>
      <c r="F1061">
        <f>SUMIF($A$2:$A$1594,A1061,$D$2:$D$1594)</f>
        <v/>
      </c>
    </row>
    <row r="1062">
      <c r="A1062" t="inlineStr">
        <is>
          <t>Friedman, Jonathan</t>
        </is>
      </c>
      <c r="B1062" t="inlineStr">
        <is>
          <t>Lesotho</t>
        </is>
      </c>
      <c r="C1062" t="inlineStr">
        <is>
          <t>LES06</t>
        </is>
      </c>
      <c r="D1062" t="n">
        <v>0.57</v>
      </c>
      <c r="E1062" t="inlineStr">
        <is>
          <t>AI/ML Lead</t>
        </is>
      </c>
      <c r="F1062">
        <f>SUMIF($A$2:$A$1594,A1062,$D$2:$D$1594)</f>
        <v/>
      </c>
    </row>
    <row r="1063">
      <c r="A1063" t="inlineStr">
        <is>
          <t>Friedman, Jonathan</t>
        </is>
      </c>
      <c r="B1063" t="inlineStr">
        <is>
          <t>Lesotho</t>
        </is>
      </c>
      <c r="C1063" t="inlineStr">
        <is>
          <t>LES07</t>
        </is>
      </c>
      <c r="D1063" t="n">
        <v>0.58</v>
      </c>
      <c r="E1063" t="inlineStr">
        <is>
          <t>AI/ML Lead</t>
        </is>
      </c>
      <c r="F1063">
        <f>SUMIF($A$2:$A$1594,A1063,$D$2:$D$1594)</f>
        <v/>
      </c>
    </row>
    <row r="1064">
      <c r="A1064" t="inlineStr">
        <is>
          <t>Mavyuva, Boniface</t>
        </is>
      </c>
      <c r="B1064" t="inlineStr">
        <is>
          <t>Lesotho</t>
        </is>
      </c>
      <c r="C1064" t="inlineStr">
        <is>
          <t>LES01</t>
        </is>
      </c>
      <c r="D1064" t="n">
        <v>0.5</v>
      </c>
      <c r="E1064" t="inlineStr">
        <is>
          <t>Dig Infrastructure Lead</t>
        </is>
      </c>
      <c r="F1064">
        <f>SUMIF($A$2:$A$1594,A1064,$D$2:$D$1594)</f>
        <v/>
      </c>
    </row>
    <row r="1065">
      <c r="A1065" t="inlineStr">
        <is>
          <t>Mavyuva, Boniface</t>
        </is>
      </c>
      <c r="B1065" t="inlineStr">
        <is>
          <t>Lesotho</t>
        </is>
      </c>
      <c r="C1065" t="inlineStr">
        <is>
          <t>LES02</t>
        </is>
      </c>
      <c r="D1065" t="n">
        <v>0.5</v>
      </c>
      <c r="E1065" t="inlineStr">
        <is>
          <t>Dig Infrastructure Lead</t>
        </is>
      </c>
      <c r="F1065">
        <f>SUMIF($A$2:$A$1594,A1065,$D$2:$D$1594)</f>
        <v/>
      </c>
    </row>
    <row r="1066">
      <c r="A1066" t="inlineStr">
        <is>
          <t>Showalter, Caitlin</t>
        </is>
      </c>
      <c r="B1066" t="inlineStr">
        <is>
          <t>Lesotho</t>
        </is>
      </c>
      <c r="C1066" t="inlineStr">
        <is>
          <t>LES01</t>
        </is>
      </c>
      <c r="D1066" t="n">
        <v>0.57</v>
      </c>
      <c r="E1066" t="inlineStr">
        <is>
          <t>M&amp;E and Learning</t>
        </is>
      </c>
      <c r="F1066">
        <f>SUMIF($A$2:$A$1594,A1066,$D$2:$D$1594)</f>
        <v/>
      </c>
    </row>
    <row r="1067">
      <c r="A1067" t="inlineStr">
        <is>
          <t>Showalter, Caitlin</t>
        </is>
      </c>
      <c r="B1067" t="inlineStr">
        <is>
          <t>Lesotho</t>
        </is>
      </c>
      <c r="C1067" t="inlineStr">
        <is>
          <t>LES02</t>
        </is>
      </c>
      <c r="D1067" t="n">
        <v>0.57</v>
      </c>
      <c r="E1067" t="inlineStr">
        <is>
          <t>M&amp;E and Learning</t>
        </is>
      </c>
      <c r="F1067">
        <f>SUMIF($A$2:$A$1594,A1067,$D$2:$D$1594)</f>
        <v/>
      </c>
    </row>
    <row r="1068">
      <c r="A1068" t="inlineStr">
        <is>
          <t>Showalter, Caitlin</t>
        </is>
      </c>
      <c r="B1068" t="inlineStr">
        <is>
          <t>Lesotho</t>
        </is>
      </c>
      <c r="C1068" t="inlineStr">
        <is>
          <t>LES03</t>
        </is>
      </c>
      <c r="D1068" t="n">
        <v>0.57</v>
      </c>
      <c r="E1068" t="inlineStr">
        <is>
          <t>M&amp;E and Learning</t>
        </is>
      </c>
      <c r="F1068">
        <f>SUMIF($A$2:$A$1594,A1068,$D$2:$D$1594)</f>
        <v/>
      </c>
    </row>
    <row r="1069">
      <c r="A1069" t="inlineStr">
        <is>
          <t>Showalter, Caitlin</t>
        </is>
      </c>
      <c r="B1069" t="inlineStr">
        <is>
          <t>Lesotho</t>
        </is>
      </c>
      <c r="C1069" t="inlineStr">
        <is>
          <t>LES04</t>
        </is>
      </c>
      <c r="D1069" t="n">
        <v>0.57</v>
      </c>
      <c r="E1069" t="inlineStr">
        <is>
          <t>M&amp;E and Learning</t>
        </is>
      </c>
      <c r="F1069">
        <f>SUMIF($A$2:$A$1594,A1069,$D$2:$D$1594)</f>
        <v/>
      </c>
    </row>
    <row r="1070">
      <c r="A1070" t="inlineStr">
        <is>
          <t>Showalter, Caitlin</t>
        </is>
      </c>
      <c r="B1070" t="inlineStr">
        <is>
          <t>Lesotho</t>
        </is>
      </c>
      <c r="C1070" t="inlineStr">
        <is>
          <t>LES05</t>
        </is>
      </c>
      <c r="D1070" t="n">
        <v>0.57</v>
      </c>
      <c r="E1070" t="inlineStr">
        <is>
          <t>M&amp;E and Learning</t>
        </is>
      </c>
      <c r="F1070">
        <f>SUMIF($A$2:$A$1594,A1070,$D$2:$D$1594)</f>
        <v/>
      </c>
    </row>
    <row r="1071">
      <c r="A1071" t="inlineStr">
        <is>
          <t>Showalter, Caitlin</t>
        </is>
      </c>
      <c r="B1071" t="inlineStr">
        <is>
          <t>Lesotho</t>
        </is>
      </c>
      <c r="C1071" t="inlineStr">
        <is>
          <t>LES06</t>
        </is>
      </c>
      <c r="D1071" t="n">
        <v>0.57</v>
      </c>
      <c r="E1071" t="inlineStr">
        <is>
          <t>M&amp;E and Learning</t>
        </is>
      </c>
      <c r="F1071">
        <f>SUMIF($A$2:$A$1594,A1071,$D$2:$D$1594)</f>
        <v/>
      </c>
    </row>
    <row r="1072">
      <c r="A1072" t="inlineStr">
        <is>
          <t>Showalter, Caitlin</t>
        </is>
      </c>
      <c r="B1072" t="inlineStr">
        <is>
          <t>Lesotho</t>
        </is>
      </c>
      <c r="C1072" t="inlineStr">
        <is>
          <t>LES07</t>
        </is>
      </c>
      <c r="D1072" t="n">
        <v>0.58</v>
      </c>
      <c r="E1072" t="inlineStr">
        <is>
          <t>M&amp;E and Learning</t>
        </is>
      </c>
      <c r="F1072">
        <f>SUMIF($A$2:$A$1594,A1072,$D$2:$D$1594)</f>
        <v/>
      </c>
    </row>
    <row r="1073">
      <c r="A1073" t="inlineStr">
        <is>
          <t>Miranda Rondon de Ro, Ing</t>
        </is>
      </c>
      <c r="B1073" t="inlineStr">
        <is>
          <t>Lesotho</t>
        </is>
      </c>
      <c r="C1073" t="inlineStr">
        <is>
          <t>LES01</t>
        </is>
      </c>
      <c r="D1073" t="n">
        <v>0.57</v>
      </c>
      <c r="E1073" t="inlineStr">
        <is>
          <t>M&amp;E and Learning</t>
        </is>
      </c>
      <c r="F1073">
        <f>SUMIF($A$2:$A$1594,A1073,$D$2:$D$1594)</f>
        <v/>
      </c>
    </row>
    <row r="1074">
      <c r="A1074" t="inlineStr">
        <is>
          <t>Miranda Rondon de Ro, Ing</t>
        </is>
      </c>
      <c r="B1074" t="inlineStr">
        <is>
          <t>Lesotho</t>
        </is>
      </c>
      <c r="C1074" t="inlineStr">
        <is>
          <t>LES02</t>
        </is>
      </c>
      <c r="D1074" t="n">
        <v>0.57</v>
      </c>
      <c r="E1074" t="inlineStr">
        <is>
          <t>M&amp;E and Learning</t>
        </is>
      </c>
      <c r="F1074">
        <f>SUMIF($A$2:$A$1594,A1074,$D$2:$D$1594)</f>
        <v/>
      </c>
    </row>
    <row r="1075">
      <c r="A1075" t="inlineStr">
        <is>
          <t>Miranda Rondon de Ro, Ing</t>
        </is>
      </c>
      <c r="B1075" t="inlineStr">
        <is>
          <t>Lesotho</t>
        </is>
      </c>
      <c r="C1075" t="inlineStr">
        <is>
          <t>LES03</t>
        </is>
      </c>
      <c r="D1075" t="n">
        <v>0.57</v>
      </c>
      <c r="E1075" t="inlineStr">
        <is>
          <t>M&amp;E and Learning</t>
        </is>
      </c>
      <c r="F1075">
        <f>SUMIF($A$2:$A$1594,A1075,$D$2:$D$1594)</f>
        <v/>
      </c>
    </row>
    <row r="1076">
      <c r="A1076" t="inlineStr">
        <is>
          <t>Miranda Rondon de Ro, Ing</t>
        </is>
      </c>
      <c r="B1076" t="inlineStr">
        <is>
          <t>Lesotho</t>
        </is>
      </c>
      <c r="C1076" t="inlineStr">
        <is>
          <t>LES04</t>
        </is>
      </c>
      <c r="D1076" t="n">
        <v>0.57</v>
      </c>
      <c r="E1076" t="inlineStr">
        <is>
          <t>M&amp;E and Learning</t>
        </is>
      </c>
      <c r="F1076">
        <f>SUMIF($A$2:$A$1594,A1076,$D$2:$D$1594)</f>
        <v/>
      </c>
    </row>
    <row r="1077">
      <c r="A1077" t="inlineStr">
        <is>
          <t>Miranda Rondon de Ro, Ing</t>
        </is>
      </c>
      <c r="B1077" t="inlineStr">
        <is>
          <t>Lesotho</t>
        </is>
      </c>
      <c r="C1077" t="inlineStr">
        <is>
          <t>LES05</t>
        </is>
      </c>
      <c r="D1077" t="n">
        <v>0.57</v>
      </c>
      <c r="E1077" t="inlineStr">
        <is>
          <t>M&amp;E and Learning</t>
        </is>
      </c>
      <c r="F1077">
        <f>SUMIF($A$2:$A$1594,A1077,$D$2:$D$1594)</f>
        <v/>
      </c>
    </row>
    <row r="1078">
      <c r="A1078" t="inlineStr">
        <is>
          <t>Miranda Rondon de Ro, Ing</t>
        </is>
      </c>
      <c r="B1078" t="inlineStr">
        <is>
          <t>Lesotho</t>
        </is>
      </c>
      <c r="C1078" t="inlineStr">
        <is>
          <t>LES06</t>
        </is>
      </c>
      <c r="D1078" t="n">
        <v>0.57</v>
      </c>
      <c r="E1078" t="inlineStr">
        <is>
          <t>M&amp;E and Learning</t>
        </is>
      </c>
      <c r="F1078">
        <f>SUMIF($A$2:$A$1594,A1078,$D$2:$D$1594)</f>
        <v/>
      </c>
    </row>
    <row r="1079">
      <c r="A1079" t="inlineStr">
        <is>
          <t>Miranda Rondon de Ro, Ing</t>
        </is>
      </c>
      <c r="B1079" t="inlineStr">
        <is>
          <t>Lesotho</t>
        </is>
      </c>
      <c r="C1079" t="inlineStr">
        <is>
          <t>LES07</t>
        </is>
      </c>
      <c r="D1079" t="n">
        <v>0.58</v>
      </c>
      <c r="E1079" t="inlineStr">
        <is>
          <t>M&amp;E and Learning</t>
        </is>
      </c>
      <c r="F1079">
        <f>SUMIF($A$2:$A$1594,A1079,$D$2:$D$1594)</f>
        <v/>
      </c>
    </row>
    <row r="1080">
      <c r="A1080" t="inlineStr">
        <is>
          <t>Sakaguchi, Kevin</t>
        </is>
      </c>
      <c r="B1080" t="inlineStr">
        <is>
          <t>Lesotho</t>
        </is>
      </c>
      <c r="C1080" t="inlineStr">
        <is>
          <t>LES01</t>
        </is>
      </c>
      <c r="D1080" t="n">
        <v>0.57</v>
      </c>
      <c r="E1080" t="inlineStr">
        <is>
          <t>M&amp;E and Learning</t>
        </is>
      </c>
      <c r="F1080">
        <f>SUMIF($A$2:$A$1594,A1080,$D$2:$D$1594)</f>
        <v/>
      </c>
    </row>
    <row r="1081">
      <c r="A1081" t="inlineStr">
        <is>
          <t>Sakaguchi, Kevin</t>
        </is>
      </c>
      <c r="B1081" t="inlineStr">
        <is>
          <t>Lesotho</t>
        </is>
      </c>
      <c r="C1081" t="inlineStr">
        <is>
          <t>LES02</t>
        </is>
      </c>
      <c r="D1081" t="n">
        <v>0.57</v>
      </c>
      <c r="E1081" t="inlineStr">
        <is>
          <t>M&amp;E and Learning</t>
        </is>
      </c>
      <c r="F1081">
        <f>SUMIF($A$2:$A$1594,A1081,$D$2:$D$1594)</f>
        <v/>
      </c>
    </row>
    <row r="1082">
      <c r="A1082" t="inlineStr">
        <is>
          <t>Sakaguchi, Kevin</t>
        </is>
      </c>
      <c r="B1082" t="inlineStr">
        <is>
          <t>Lesotho</t>
        </is>
      </c>
      <c r="C1082" t="inlineStr">
        <is>
          <t>LES03</t>
        </is>
      </c>
      <c r="D1082" t="n">
        <v>0.57</v>
      </c>
      <c r="E1082" t="inlineStr">
        <is>
          <t>M&amp;E and Learning</t>
        </is>
      </c>
      <c r="F1082">
        <f>SUMIF($A$2:$A$1594,A1082,$D$2:$D$1594)</f>
        <v/>
      </c>
    </row>
    <row r="1083">
      <c r="A1083" t="inlineStr">
        <is>
          <t>Sakaguchi, Kevin</t>
        </is>
      </c>
      <c r="B1083" t="inlineStr">
        <is>
          <t>Lesotho</t>
        </is>
      </c>
      <c r="C1083" t="inlineStr">
        <is>
          <t>LES04</t>
        </is>
      </c>
      <c r="D1083" t="n">
        <v>0.57</v>
      </c>
      <c r="E1083" t="inlineStr">
        <is>
          <t>M&amp;E and Learning</t>
        </is>
      </c>
      <c r="F1083">
        <f>SUMIF($A$2:$A$1594,A1083,$D$2:$D$1594)</f>
        <v/>
      </c>
    </row>
    <row r="1084">
      <c r="A1084" t="inlineStr">
        <is>
          <t>Sakaguchi, Kevin</t>
        </is>
      </c>
      <c r="B1084" t="inlineStr">
        <is>
          <t>Lesotho</t>
        </is>
      </c>
      <c r="C1084" t="inlineStr">
        <is>
          <t>LES05</t>
        </is>
      </c>
      <c r="D1084" t="n">
        <v>0.57</v>
      </c>
      <c r="E1084" t="inlineStr">
        <is>
          <t>M&amp;E and Learning</t>
        </is>
      </c>
      <c r="F1084">
        <f>SUMIF($A$2:$A$1594,A1084,$D$2:$D$1594)</f>
        <v/>
      </c>
    </row>
    <row r="1085">
      <c r="A1085" t="inlineStr">
        <is>
          <t>Sakaguchi, Kevin</t>
        </is>
      </c>
      <c r="B1085" t="inlineStr">
        <is>
          <t>Lesotho</t>
        </is>
      </c>
      <c r="C1085" t="inlineStr">
        <is>
          <t>LES06</t>
        </is>
      </c>
      <c r="D1085" t="n">
        <v>0.57</v>
      </c>
      <c r="E1085" t="inlineStr">
        <is>
          <t>M&amp;E and Learning</t>
        </is>
      </c>
      <c r="F1085">
        <f>SUMIF($A$2:$A$1594,A1085,$D$2:$D$1594)</f>
        <v/>
      </c>
    </row>
    <row r="1086">
      <c r="A1086" t="inlineStr">
        <is>
          <t>Sakaguchi, Kevin</t>
        </is>
      </c>
      <c r="B1086" t="inlineStr">
        <is>
          <t>Lesotho</t>
        </is>
      </c>
      <c r="C1086" t="inlineStr">
        <is>
          <t>LES07</t>
        </is>
      </c>
      <c r="D1086" t="n">
        <v>0.58</v>
      </c>
      <c r="E1086" t="inlineStr">
        <is>
          <t>M&amp;E and Learning</t>
        </is>
      </c>
      <c r="F1086">
        <f>SUMIF($A$2:$A$1594,A1086,$D$2:$D$1594)</f>
        <v/>
      </c>
    </row>
    <row r="1087">
      <c r="A1087" t="inlineStr">
        <is>
          <t>Claussen, Laurence</t>
        </is>
      </c>
      <c r="B1087" t="inlineStr">
        <is>
          <t>Lesotho</t>
        </is>
      </c>
      <c r="C1087" t="inlineStr">
        <is>
          <t>LES01</t>
        </is>
      </c>
      <c r="D1087" t="n">
        <v>0.57</v>
      </c>
      <c r="E1087" t="inlineStr">
        <is>
          <t>Comms Manager</t>
        </is>
      </c>
      <c r="F1087">
        <f>SUMIF($A$2:$A$1594,A1087,$D$2:$D$1594)</f>
        <v/>
      </c>
    </row>
    <row r="1088">
      <c r="A1088" t="inlineStr">
        <is>
          <t>Claussen, Laurence</t>
        </is>
      </c>
      <c r="B1088" t="inlineStr">
        <is>
          <t>Lesotho</t>
        </is>
      </c>
      <c r="C1088" t="inlineStr">
        <is>
          <t>LES02</t>
        </is>
      </c>
      <c r="D1088" t="n">
        <v>0.57</v>
      </c>
      <c r="E1088" t="inlineStr">
        <is>
          <t>Comms Manager</t>
        </is>
      </c>
      <c r="F1088">
        <f>SUMIF($A$2:$A$1594,A1088,$D$2:$D$1594)</f>
        <v/>
      </c>
    </row>
    <row r="1089">
      <c r="A1089" t="inlineStr">
        <is>
          <t>Claussen, Laurence</t>
        </is>
      </c>
      <c r="B1089" t="inlineStr">
        <is>
          <t>Lesotho</t>
        </is>
      </c>
      <c r="C1089" t="inlineStr">
        <is>
          <t>LES03</t>
        </is>
      </c>
      <c r="D1089" t="n">
        <v>0.57</v>
      </c>
      <c r="E1089" t="inlineStr">
        <is>
          <t>Comms Manager</t>
        </is>
      </c>
      <c r="F1089">
        <f>SUMIF($A$2:$A$1594,A1089,$D$2:$D$1594)</f>
        <v/>
      </c>
    </row>
    <row r="1090">
      <c r="A1090" t="inlineStr">
        <is>
          <t>Claussen, Laurence</t>
        </is>
      </c>
      <c r="B1090" t="inlineStr">
        <is>
          <t>Lesotho</t>
        </is>
      </c>
      <c r="C1090" t="inlineStr">
        <is>
          <t>LES04</t>
        </is>
      </c>
      <c r="D1090" t="n">
        <v>0.57</v>
      </c>
      <c r="E1090" t="inlineStr">
        <is>
          <t>Comms Manager</t>
        </is>
      </c>
      <c r="F1090">
        <f>SUMIF($A$2:$A$1594,A1090,$D$2:$D$1594)</f>
        <v/>
      </c>
    </row>
    <row r="1091">
      <c r="A1091" t="inlineStr">
        <is>
          <t>Claussen, Laurence</t>
        </is>
      </c>
      <c r="B1091" t="inlineStr">
        <is>
          <t>Lesotho</t>
        </is>
      </c>
      <c r="C1091" t="inlineStr">
        <is>
          <t>LES05</t>
        </is>
      </c>
      <c r="D1091" t="n">
        <v>0.57</v>
      </c>
      <c r="E1091" t="inlineStr">
        <is>
          <t>Comms Manager</t>
        </is>
      </c>
      <c r="F1091">
        <f>SUMIF($A$2:$A$1594,A1091,$D$2:$D$1594)</f>
        <v/>
      </c>
    </row>
    <row r="1092">
      <c r="A1092" t="inlineStr">
        <is>
          <t>Claussen, Laurence</t>
        </is>
      </c>
      <c r="B1092" t="inlineStr">
        <is>
          <t>Lesotho</t>
        </is>
      </c>
      <c r="C1092" t="inlineStr">
        <is>
          <t>LES06</t>
        </is>
      </c>
      <c r="D1092" t="n">
        <v>0.57</v>
      </c>
      <c r="E1092" t="inlineStr">
        <is>
          <t>Comms Manager</t>
        </is>
      </c>
      <c r="F1092">
        <f>SUMIF($A$2:$A$1594,A1092,$D$2:$D$1594)</f>
        <v/>
      </c>
    </row>
    <row r="1093">
      <c r="A1093" t="inlineStr">
        <is>
          <t>Claussen, Laurence</t>
        </is>
      </c>
      <c r="B1093" t="inlineStr">
        <is>
          <t>Lesotho</t>
        </is>
      </c>
      <c r="C1093" t="inlineStr">
        <is>
          <t>LES07</t>
        </is>
      </c>
      <c r="D1093" t="n">
        <v>0.58</v>
      </c>
      <c r="E1093" t="inlineStr">
        <is>
          <t>Comms Manager</t>
        </is>
      </c>
      <c r="F1093">
        <f>SUMIF($A$2:$A$1594,A1093,$D$2:$D$1594)</f>
        <v/>
      </c>
    </row>
    <row r="1094">
      <c r="A1094" t="inlineStr">
        <is>
          <t>Manocher, Baktash</t>
        </is>
      </c>
      <c r="B1094" t="inlineStr">
        <is>
          <t>Lesotho</t>
        </is>
      </c>
      <c r="C1094" t="inlineStr">
        <is>
          <t>LES01</t>
        </is>
      </c>
      <c r="D1094" t="n">
        <v>7.29</v>
      </c>
      <c r="E1094" t="inlineStr">
        <is>
          <t>Associate Pool</t>
        </is>
      </c>
      <c r="F1094">
        <f>SUMIF($A$2:$A$1594,A1094,$D$2:$D$1594)</f>
        <v/>
      </c>
    </row>
    <row r="1095">
      <c r="A1095" t="inlineStr">
        <is>
          <t>Manocher, Baktash</t>
        </is>
      </c>
      <c r="B1095" t="inlineStr">
        <is>
          <t>Lesotho</t>
        </is>
      </c>
      <c r="C1095" t="inlineStr">
        <is>
          <t>LES02</t>
        </is>
      </c>
      <c r="D1095" t="n">
        <v>7.29</v>
      </c>
      <c r="E1095" t="inlineStr">
        <is>
          <t>Associate Pool</t>
        </is>
      </c>
      <c r="F1095">
        <f>SUMIF($A$2:$A$1594,A1095,$D$2:$D$1594)</f>
        <v/>
      </c>
    </row>
    <row r="1096">
      <c r="A1096" t="inlineStr">
        <is>
          <t>Manocher, Baktash</t>
        </is>
      </c>
      <c r="B1096" t="inlineStr">
        <is>
          <t>Lesotho</t>
        </is>
      </c>
      <c r="C1096" t="inlineStr">
        <is>
          <t>LES03</t>
        </is>
      </c>
      <c r="D1096" t="n">
        <v>7.29</v>
      </c>
      <c r="E1096" t="inlineStr">
        <is>
          <t>Associate Pool</t>
        </is>
      </c>
      <c r="F1096">
        <f>SUMIF($A$2:$A$1594,A1096,$D$2:$D$1594)</f>
        <v/>
      </c>
    </row>
    <row r="1097">
      <c r="A1097" t="inlineStr">
        <is>
          <t>Manocher, Baktash</t>
        </is>
      </c>
      <c r="B1097" t="inlineStr">
        <is>
          <t>Lesotho</t>
        </is>
      </c>
      <c r="C1097" t="inlineStr">
        <is>
          <t>LES04</t>
        </is>
      </c>
      <c r="D1097" t="n">
        <v>7.29</v>
      </c>
      <c r="E1097" t="inlineStr">
        <is>
          <t>Associate Pool</t>
        </is>
      </c>
      <c r="F1097">
        <f>SUMIF($A$2:$A$1594,A1097,$D$2:$D$1594)</f>
        <v/>
      </c>
    </row>
    <row r="1098">
      <c r="A1098" t="inlineStr">
        <is>
          <t>Manocher, Baktash</t>
        </is>
      </c>
      <c r="B1098" t="inlineStr">
        <is>
          <t>Lesotho</t>
        </is>
      </c>
      <c r="C1098" t="inlineStr">
        <is>
          <t>LES05</t>
        </is>
      </c>
      <c r="D1098" t="n">
        <v>7.28</v>
      </c>
      <c r="E1098" t="inlineStr">
        <is>
          <t>Associate Pool</t>
        </is>
      </c>
      <c r="F1098">
        <f>SUMIF($A$2:$A$1594,A1098,$D$2:$D$1594)</f>
        <v/>
      </c>
    </row>
    <row r="1099">
      <c r="A1099" t="inlineStr">
        <is>
          <t>Manocher, Baktash</t>
        </is>
      </c>
      <c r="B1099" t="inlineStr">
        <is>
          <t>Lesotho</t>
        </is>
      </c>
      <c r="C1099" t="inlineStr">
        <is>
          <t>LES06</t>
        </is>
      </c>
      <c r="D1099" t="n">
        <v>7.28</v>
      </c>
      <c r="E1099" t="inlineStr">
        <is>
          <t>Associate Pool</t>
        </is>
      </c>
      <c r="F1099">
        <f>SUMIF($A$2:$A$1594,A1099,$D$2:$D$1594)</f>
        <v/>
      </c>
    </row>
    <row r="1100">
      <c r="A1100" t="inlineStr">
        <is>
          <t>Manocher, Baktash</t>
        </is>
      </c>
      <c r="B1100" t="inlineStr">
        <is>
          <t>Lesotho</t>
        </is>
      </c>
      <c r="C1100" t="inlineStr">
        <is>
          <t>LES07</t>
        </is>
      </c>
      <c r="D1100" t="n">
        <v>7.28</v>
      </c>
      <c r="E1100" t="inlineStr">
        <is>
          <t>Associate Pool</t>
        </is>
      </c>
      <c r="F1100">
        <f>SUMIF($A$2:$A$1594,A1100,$D$2:$D$1594)</f>
        <v/>
      </c>
    </row>
    <row r="1101">
      <c r="A1101" t="inlineStr">
        <is>
          <t>Mathias, John</t>
        </is>
      </c>
      <c r="B1101" t="inlineStr">
        <is>
          <t>Lesotho</t>
        </is>
      </c>
      <c r="C1101" t="inlineStr">
        <is>
          <t>LES01</t>
        </is>
      </c>
      <c r="D1101" t="n">
        <v>0.57</v>
      </c>
      <c r="E1101" t="inlineStr">
        <is>
          <t>Operations Director</t>
        </is>
      </c>
      <c r="F1101">
        <f>SUMIF($A$2:$A$1594,A1101,$D$2:$D$1594)</f>
        <v/>
      </c>
    </row>
    <row r="1102">
      <c r="A1102" t="inlineStr">
        <is>
          <t>Mathias, John</t>
        </is>
      </c>
      <c r="B1102" t="inlineStr">
        <is>
          <t>Lesotho</t>
        </is>
      </c>
      <c r="C1102" t="inlineStr">
        <is>
          <t>LES02</t>
        </is>
      </c>
      <c r="D1102" t="n">
        <v>0.57</v>
      </c>
      <c r="E1102" t="inlineStr">
        <is>
          <t>Operations Director</t>
        </is>
      </c>
      <c r="F1102">
        <f>SUMIF($A$2:$A$1594,A1102,$D$2:$D$1594)</f>
        <v/>
      </c>
    </row>
    <row r="1103">
      <c r="A1103" t="inlineStr">
        <is>
          <t>Mathias, John</t>
        </is>
      </c>
      <c r="B1103" t="inlineStr">
        <is>
          <t>Lesotho</t>
        </is>
      </c>
      <c r="C1103" t="inlineStr">
        <is>
          <t>LES03</t>
        </is>
      </c>
      <c r="D1103" t="n">
        <v>0.57</v>
      </c>
      <c r="E1103" t="inlineStr">
        <is>
          <t>Operations Director</t>
        </is>
      </c>
      <c r="F1103">
        <f>SUMIF($A$2:$A$1594,A1103,$D$2:$D$1594)</f>
        <v/>
      </c>
    </row>
    <row r="1104">
      <c r="A1104" t="inlineStr">
        <is>
          <t>Mathias, John</t>
        </is>
      </c>
      <c r="B1104" t="inlineStr">
        <is>
          <t>Lesotho</t>
        </is>
      </c>
      <c r="C1104" t="inlineStr">
        <is>
          <t>LES04</t>
        </is>
      </c>
      <c r="D1104" t="n">
        <v>0.57</v>
      </c>
      <c r="E1104" t="inlineStr">
        <is>
          <t>Operations Director</t>
        </is>
      </c>
      <c r="F1104">
        <f>SUMIF($A$2:$A$1594,A1104,$D$2:$D$1594)</f>
        <v/>
      </c>
    </row>
    <row r="1105">
      <c r="A1105" t="inlineStr">
        <is>
          <t>Mathias, John</t>
        </is>
      </c>
      <c r="B1105" t="inlineStr">
        <is>
          <t>Lesotho</t>
        </is>
      </c>
      <c r="C1105" t="inlineStr">
        <is>
          <t>LES05</t>
        </is>
      </c>
      <c r="D1105" t="n">
        <v>0.57</v>
      </c>
      <c r="E1105" t="inlineStr">
        <is>
          <t>Operations Director</t>
        </is>
      </c>
      <c r="F1105">
        <f>SUMIF($A$2:$A$1594,A1105,$D$2:$D$1594)</f>
        <v/>
      </c>
    </row>
    <row r="1106">
      <c r="A1106" t="inlineStr">
        <is>
          <t>Mathias, John</t>
        </is>
      </c>
      <c r="B1106" t="inlineStr">
        <is>
          <t>Lesotho</t>
        </is>
      </c>
      <c r="C1106" t="inlineStr">
        <is>
          <t>LES06</t>
        </is>
      </c>
      <c r="D1106" t="n">
        <v>0.57</v>
      </c>
      <c r="E1106" t="inlineStr">
        <is>
          <t>Operations Director</t>
        </is>
      </c>
      <c r="F1106">
        <f>SUMIF($A$2:$A$1594,A1106,$D$2:$D$1594)</f>
        <v/>
      </c>
    </row>
    <row r="1107">
      <c r="A1107" t="inlineStr">
        <is>
          <t>Mathias, John</t>
        </is>
      </c>
      <c r="B1107" t="inlineStr">
        <is>
          <t>Lesotho</t>
        </is>
      </c>
      <c r="C1107" t="inlineStr">
        <is>
          <t>LES07</t>
        </is>
      </c>
      <c r="D1107" t="n">
        <v>0.58</v>
      </c>
      <c r="E1107" t="inlineStr">
        <is>
          <t>Operations Director</t>
        </is>
      </c>
      <c r="F1107">
        <f>SUMIF($A$2:$A$1594,A1107,$D$2:$D$1594)</f>
        <v/>
      </c>
    </row>
    <row r="1108">
      <c r="A1108" t="inlineStr">
        <is>
          <t>Misomali, Mark</t>
        </is>
      </c>
      <c r="B1108" t="inlineStr">
        <is>
          <t>Lesotho</t>
        </is>
      </c>
      <c r="C1108" t="inlineStr">
        <is>
          <t>LES01</t>
        </is>
      </c>
      <c r="D1108" t="n">
        <v>0.57</v>
      </c>
      <c r="E1108" t="inlineStr">
        <is>
          <t xml:space="preserve">Operations Sr Finance Manager   </t>
        </is>
      </c>
      <c r="F1108">
        <f>SUMIF($A$2:$A$1594,A1108,$D$2:$D$1594)</f>
        <v/>
      </c>
    </row>
    <row r="1109">
      <c r="A1109" t="inlineStr">
        <is>
          <t>Misomali, Mark</t>
        </is>
      </c>
      <c r="B1109" t="inlineStr">
        <is>
          <t>Lesotho</t>
        </is>
      </c>
      <c r="C1109" t="inlineStr">
        <is>
          <t>LES02</t>
        </is>
      </c>
      <c r="D1109" t="n">
        <v>0.57</v>
      </c>
      <c r="E1109" t="inlineStr">
        <is>
          <t xml:space="preserve">Operations Sr Finance Manager   </t>
        </is>
      </c>
      <c r="F1109">
        <f>SUMIF($A$2:$A$1594,A1109,$D$2:$D$1594)</f>
        <v/>
      </c>
    </row>
    <row r="1110">
      <c r="A1110" t="inlineStr">
        <is>
          <t>Misomali, Mark</t>
        </is>
      </c>
      <c r="B1110" t="inlineStr">
        <is>
          <t>Lesotho</t>
        </is>
      </c>
      <c r="C1110" t="inlineStr">
        <is>
          <t>LES03</t>
        </is>
      </c>
      <c r="D1110" t="n">
        <v>0.57</v>
      </c>
      <c r="E1110" t="inlineStr">
        <is>
          <t xml:space="preserve">Operations Sr Finance Manager   </t>
        </is>
      </c>
      <c r="F1110">
        <f>SUMIF($A$2:$A$1594,A1110,$D$2:$D$1594)</f>
        <v/>
      </c>
    </row>
    <row r="1111">
      <c r="A1111" t="inlineStr">
        <is>
          <t>Misomali, Mark</t>
        </is>
      </c>
      <c r="B1111" t="inlineStr">
        <is>
          <t>Lesotho</t>
        </is>
      </c>
      <c r="C1111" t="inlineStr">
        <is>
          <t>LES04</t>
        </is>
      </c>
      <c r="D1111" t="n">
        <v>0.57</v>
      </c>
      <c r="E1111" t="inlineStr">
        <is>
          <t xml:space="preserve">Operations Sr Finance Manager   </t>
        </is>
      </c>
      <c r="F1111">
        <f>SUMIF($A$2:$A$1594,A1111,$D$2:$D$1594)</f>
        <v/>
      </c>
    </row>
    <row r="1112">
      <c r="A1112" t="inlineStr">
        <is>
          <t>Misomali, Mark</t>
        </is>
      </c>
      <c r="B1112" t="inlineStr">
        <is>
          <t>Lesotho</t>
        </is>
      </c>
      <c r="C1112" t="inlineStr">
        <is>
          <t>LES05</t>
        </is>
      </c>
      <c r="D1112" t="n">
        <v>0.57</v>
      </c>
      <c r="E1112" t="inlineStr">
        <is>
          <t xml:space="preserve">Operations Sr Finance Manager   </t>
        </is>
      </c>
      <c r="F1112">
        <f>SUMIF($A$2:$A$1594,A1112,$D$2:$D$1594)</f>
        <v/>
      </c>
    </row>
    <row r="1113">
      <c r="A1113" t="inlineStr">
        <is>
          <t>Misomali, Mark</t>
        </is>
      </c>
      <c r="B1113" t="inlineStr">
        <is>
          <t>Lesotho</t>
        </is>
      </c>
      <c r="C1113" t="inlineStr">
        <is>
          <t>LES06</t>
        </is>
      </c>
      <c r="D1113" t="n">
        <v>0.57</v>
      </c>
      <c r="E1113" t="inlineStr">
        <is>
          <t xml:space="preserve">Operations Sr Finance Manager   </t>
        </is>
      </c>
      <c r="F1113">
        <f>SUMIF($A$2:$A$1594,A1113,$D$2:$D$1594)</f>
        <v/>
      </c>
    </row>
    <row r="1114">
      <c r="A1114" t="inlineStr">
        <is>
          <t>Misomali, Mark</t>
        </is>
      </c>
      <c r="B1114" t="inlineStr">
        <is>
          <t>Lesotho</t>
        </is>
      </c>
      <c r="C1114" t="inlineStr">
        <is>
          <t>LES07</t>
        </is>
      </c>
      <c r="D1114" t="n">
        <v>0.58</v>
      </c>
      <c r="E1114" t="inlineStr">
        <is>
          <t xml:space="preserve">Operations Sr Finance Manager   </t>
        </is>
      </c>
      <c r="F1114">
        <f>SUMIF($A$2:$A$1594,A1114,$D$2:$D$1594)</f>
        <v/>
      </c>
    </row>
    <row r="1115">
      <c r="A1115" t="inlineStr">
        <is>
          <t>Noorzai, Mahmood</t>
        </is>
      </c>
      <c r="B1115" t="inlineStr">
        <is>
          <t>Lesotho</t>
        </is>
      </c>
      <c r="C1115" t="inlineStr">
        <is>
          <t>LES01</t>
        </is>
      </c>
      <c r="D1115" t="n">
        <v>0.57</v>
      </c>
      <c r="E1115" t="inlineStr">
        <is>
          <t>Operations Finance Associate</t>
        </is>
      </c>
      <c r="F1115">
        <f>SUMIF($A$2:$A$1594,A1115,$D$2:$D$1594)</f>
        <v/>
      </c>
    </row>
    <row r="1116">
      <c r="A1116" t="inlineStr">
        <is>
          <t>Noorzai, Mahmood</t>
        </is>
      </c>
      <c r="B1116" t="inlineStr">
        <is>
          <t>Lesotho</t>
        </is>
      </c>
      <c r="C1116" t="inlineStr">
        <is>
          <t>LES02</t>
        </is>
      </c>
      <c r="D1116" t="n">
        <v>0.57</v>
      </c>
      <c r="E1116" t="inlineStr">
        <is>
          <t>Operations Finance Associate</t>
        </is>
      </c>
      <c r="F1116">
        <f>SUMIF($A$2:$A$1594,A1116,$D$2:$D$1594)</f>
        <v/>
      </c>
    </row>
    <row r="1117">
      <c r="A1117" t="inlineStr">
        <is>
          <t>Noorzai, Mahmood</t>
        </is>
      </c>
      <c r="B1117" t="inlineStr">
        <is>
          <t>Lesotho</t>
        </is>
      </c>
      <c r="C1117" t="inlineStr">
        <is>
          <t>LES03</t>
        </is>
      </c>
      <c r="D1117" t="n">
        <v>0.57</v>
      </c>
      <c r="E1117" t="inlineStr">
        <is>
          <t>Operations Finance Associate</t>
        </is>
      </c>
      <c r="F1117">
        <f>SUMIF($A$2:$A$1594,A1117,$D$2:$D$1594)</f>
        <v/>
      </c>
    </row>
    <row r="1118">
      <c r="A1118" t="inlineStr">
        <is>
          <t>Noorzai, Mahmood</t>
        </is>
      </c>
      <c r="B1118" t="inlineStr">
        <is>
          <t>Lesotho</t>
        </is>
      </c>
      <c r="C1118" t="inlineStr">
        <is>
          <t>LES04</t>
        </is>
      </c>
      <c r="D1118" t="n">
        <v>0.57</v>
      </c>
      <c r="E1118" t="inlineStr">
        <is>
          <t>Operations Finance Associate</t>
        </is>
      </c>
      <c r="F1118">
        <f>SUMIF($A$2:$A$1594,A1118,$D$2:$D$1594)</f>
        <v/>
      </c>
    </row>
    <row r="1119">
      <c r="A1119" t="inlineStr">
        <is>
          <t>Noorzai, Mahmood</t>
        </is>
      </c>
      <c r="B1119" t="inlineStr">
        <is>
          <t>Lesotho</t>
        </is>
      </c>
      <c r="C1119" t="inlineStr">
        <is>
          <t>LES05</t>
        </is>
      </c>
      <c r="D1119" t="n">
        <v>0.57</v>
      </c>
      <c r="E1119" t="inlineStr">
        <is>
          <t>Operations Finance Associate</t>
        </is>
      </c>
      <c r="F1119">
        <f>SUMIF($A$2:$A$1594,A1119,$D$2:$D$1594)</f>
        <v/>
      </c>
    </row>
    <row r="1120">
      <c r="A1120" t="inlineStr">
        <is>
          <t>Noorzai, Mahmood</t>
        </is>
      </c>
      <c r="B1120" t="inlineStr">
        <is>
          <t>Lesotho</t>
        </is>
      </c>
      <c r="C1120" t="inlineStr">
        <is>
          <t>LES06</t>
        </is>
      </c>
      <c r="D1120" t="n">
        <v>0.57</v>
      </c>
      <c r="E1120" t="inlineStr">
        <is>
          <t>Operations Finance Associate</t>
        </is>
      </c>
      <c r="F1120">
        <f>SUMIF($A$2:$A$1594,A1120,$D$2:$D$1594)</f>
        <v/>
      </c>
    </row>
    <row r="1121">
      <c r="A1121" t="inlineStr">
        <is>
          <t>Noorzai, Mahmood</t>
        </is>
      </c>
      <c r="B1121" t="inlineStr">
        <is>
          <t>Lesotho</t>
        </is>
      </c>
      <c r="C1121" t="inlineStr">
        <is>
          <t>LES07</t>
        </is>
      </c>
      <c r="D1121" t="n">
        <v>0.58</v>
      </c>
      <c r="E1121" t="inlineStr">
        <is>
          <t>Operations Finance Associate</t>
        </is>
      </c>
      <c r="F1121">
        <f>SUMIF($A$2:$A$1594,A1121,$D$2:$D$1594)</f>
        <v/>
      </c>
    </row>
    <row r="1122">
      <c r="A1122" t="inlineStr">
        <is>
          <t>Miller, Brynn</t>
        </is>
      </c>
      <c r="B1122" t="inlineStr">
        <is>
          <t>Lesotho</t>
        </is>
      </c>
      <c r="C1122" t="inlineStr">
        <is>
          <t>LES01</t>
        </is>
      </c>
      <c r="D1122" t="n">
        <v>6.57</v>
      </c>
      <c r="E1122" t="inlineStr">
        <is>
          <t>Operations Manager level - 16</t>
        </is>
      </c>
      <c r="F1122">
        <f>SUMIF($A$2:$A$1594,A1122,$D$2:$D$1594)</f>
        <v/>
      </c>
    </row>
    <row r="1123">
      <c r="A1123" t="inlineStr">
        <is>
          <t>Miller, Brynn</t>
        </is>
      </c>
      <c r="B1123" t="inlineStr">
        <is>
          <t>Lesotho</t>
        </is>
      </c>
      <c r="C1123" t="inlineStr">
        <is>
          <t>LES02</t>
        </is>
      </c>
      <c r="D1123" t="n">
        <v>0.57</v>
      </c>
      <c r="E1123" t="inlineStr">
        <is>
          <t>Operations Manager level - 16</t>
        </is>
      </c>
      <c r="F1123">
        <f>SUMIF($A$2:$A$1594,A1123,$D$2:$D$1594)</f>
        <v/>
      </c>
    </row>
    <row r="1124">
      <c r="A1124" t="inlineStr">
        <is>
          <t>Miller, Brynn</t>
        </is>
      </c>
      <c r="B1124" t="inlineStr">
        <is>
          <t>Lesotho</t>
        </is>
      </c>
      <c r="C1124" t="inlineStr">
        <is>
          <t>LES03</t>
        </is>
      </c>
      <c r="D1124" t="n">
        <v>6.57</v>
      </c>
      <c r="E1124" t="inlineStr">
        <is>
          <t>Operations Manager level - 16</t>
        </is>
      </c>
      <c r="F1124">
        <f>SUMIF($A$2:$A$1594,A1124,$D$2:$D$1594)</f>
        <v/>
      </c>
    </row>
    <row r="1125">
      <c r="A1125" t="inlineStr">
        <is>
          <t>Miller, Brynn</t>
        </is>
      </c>
      <c r="B1125" t="inlineStr">
        <is>
          <t>Lesotho</t>
        </is>
      </c>
      <c r="C1125" t="inlineStr">
        <is>
          <t>LES04</t>
        </is>
      </c>
      <c r="D1125" t="n">
        <v>6.57</v>
      </c>
      <c r="E1125" t="inlineStr">
        <is>
          <t>Operations Manager level - 16</t>
        </is>
      </c>
      <c r="F1125">
        <f>SUMIF($A$2:$A$1594,A1125,$D$2:$D$1594)</f>
        <v/>
      </c>
    </row>
    <row r="1126">
      <c r="A1126" t="inlineStr">
        <is>
          <t>Miller, Brynn</t>
        </is>
      </c>
      <c r="B1126" t="inlineStr">
        <is>
          <t>Lesotho</t>
        </is>
      </c>
      <c r="C1126" t="inlineStr">
        <is>
          <t>LES05</t>
        </is>
      </c>
      <c r="D1126" t="n">
        <v>12.57</v>
      </c>
      <c r="E1126" t="inlineStr">
        <is>
          <t>Operations Manager level - 16</t>
        </is>
      </c>
      <c r="F1126">
        <f>SUMIF($A$2:$A$1594,A1126,$D$2:$D$1594)</f>
        <v/>
      </c>
    </row>
    <row r="1127">
      <c r="A1127" t="inlineStr">
        <is>
          <t>Miller, Brynn</t>
        </is>
      </c>
      <c r="B1127" t="inlineStr">
        <is>
          <t>Lesotho</t>
        </is>
      </c>
      <c r="C1127" t="inlineStr">
        <is>
          <t>LES06</t>
        </is>
      </c>
      <c r="D1127" t="n">
        <v>6.57</v>
      </c>
      <c r="E1127" t="inlineStr">
        <is>
          <t>Operations Manager level - 16</t>
        </is>
      </c>
      <c r="F1127">
        <f>SUMIF($A$2:$A$1594,A1127,$D$2:$D$1594)</f>
        <v/>
      </c>
    </row>
    <row r="1128">
      <c r="A1128" t="inlineStr">
        <is>
          <t>Miller, Brynn</t>
        </is>
      </c>
      <c r="B1128" t="inlineStr">
        <is>
          <t>Lesotho</t>
        </is>
      </c>
      <c r="C1128" t="inlineStr">
        <is>
          <t>LES07</t>
        </is>
      </c>
      <c r="D1128" t="n">
        <v>6.58</v>
      </c>
      <c r="E1128" t="inlineStr">
        <is>
          <t>Operations Manager level - 16</t>
        </is>
      </c>
      <c r="F1128">
        <f>SUMIF($A$2:$A$1594,A1128,$D$2:$D$1594)</f>
        <v/>
      </c>
    </row>
    <row r="1129">
      <c r="A1129" t="inlineStr">
        <is>
          <t>Mawandia, Shreshth</t>
        </is>
      </c>
      <c r="B1129" t="inlineStr">
        <is>
          <t>Madagascar</t>
        </is>
      </c>
      <c r="C1129" t="inlineStr">
        <is>
          <t>MAD01</t>
        </is>
      </c>
      <c r="D1129" t="n">
        <v>0.5</v>
      </c>
      <c r="E1129" t="inlineStr">
        <is>
          <t>KP - Project Director</t>
        </is>
      </c>
      <c r="F1129">
        <f>SUMIF($A$2:$A$1594,A1129,$D$2:$D$1594)</f>
        <v/>
      </c>
    </row>
    <row r="1130">
      <c r="A1130" t="inlineStr">
        <is>
          <t>Mawandia, Shreshth</t>
        </is>
      </c>
      <c r="B1130" t="inlineStr">
        <is>
          <t>Madagascar</t>
        </is>
      </c>
      <c r="C1130" t="inlineStr">
        <is>
          <t>MAD02</t>
        </is>
      </c>
      <c r="D1130" t="n">
        <v>0.5</v>
      </c>
      <c r="E1130" t="inlineStr">
        <is>
          <t>KP - Project Director</t>
        </is>
      </c>
      <c r="F1130">
        <f>SUMIF($A$2:$A$1594,A1130,$D$2:$D$1594)</f>
        <v/>
      </c>
    </row>
    <row r="1131">
      <c r="A1131" t="inlineStr">
        <is>
          <t>Mawandia, Shreshth</t>
        </is>
      </c>
      <c r="B1131" t="inlineStr">
        <is>
          <t>Madagascar</t>
        </is>
      </c>
      <c r="C1131" t="inlineStr">
        <is>
          <t>MAD03</t>
        </is>
      </c>
      <c r="D1131" t="n">
        <v>0.5</v>
      </c>
      <c r="E1131" t="inlineStr">
        <is>
          <t>KP - Project Director</t>
        </is>
      </c>
      <c r="F1131">
        <f>SUMIF($A$2:$A$1594,A1131,$D$2:$D$1594)</f>
        <v/>
      </c>
    </row>
    <row r="1132">
      <c r="A1132" t="inlineStr">
        <is>
          <t>Mawandia, Shreshth</t>
        </is>
      </c>
      <c r="B1132" t="inlineStr">
        <is>
          <t>Madagascar</t>
        </is>
      </c>
      <c r="C1132" t="inlineStr">
        <is>
          <t>MAD04</t>
        </is>
      </c>
      <c r="D1132" t="n">
        <v>0.5</v>
      </c>
      <c r="E1132" t="inlineStr">
        <is>
          <t>KP - Project Director</t>
        </is>
      </c>
      <c r="F1132">
        <f>SUMIF($A$2:$A$1594,A1132,$D$2:$D$1594)</f>
        <v/>
      </c>
    </row>
    <row r="1133">
      <c r="A1133" t="inlineStr">
        <is>
          <t>Mawandia, Shreshth</t>
        </is>
      </c>
      <c r="B1133" t="inlineStr">
        <is>
          <t>Madagascar</t>
        </is>
      </c>
      <c r="C1133" t="inlineStr">
        <is>
          <t>MAD05</t>
        </is>
      </c>
      <c r="D1133" t="n">
        <v>0.5</v>
      </c>
      <c r="E1133" t="inlineStr">
        <is>
          <t>KP - Project Director</t>
        </is>
      </c>
      <c r="F1133">
        <f>SUMIF($A$2:$A$1594,A1133,$D$2:$D$1594)</f>
        <v/>
      </c>
    </row>
    <row r="1134">
      <c r="A1134" t="inlineStr">
        <is>
          <t>Mawandia, Shreshth</t>
        </is>
      </c>
      <c r="B1134" t="inlineStr">
        <is>
          <t>Madagascar</t>
        </is>
      </c>
      <c r="C1134" t="inlineStr">
        <is>
          <t>MAD06</t>
        </is>
      </c>
      <c r="D1134" t="n">
        <v>0.5</v>
      </c>
      <c r="E1134" t="inlineStr">
        <is>
          <t>KP - Project Director</t>
        </is>
      </c>
      <c r="F1134">
        <f>SUMIF($A$2:$A$1594,A1134,$D$2:$D$1594)</f>
        <v/>
      </c>
    </row>
    <row r="1135">
      <c r="A1135" t="inlineStr">
        <is>
          <t>Mawandia, Shreshth</t>
        </is>
      </c>
      <c r="B1135" t="inlineStr">
        <is>
          <t>Madagascar</t>
        </is>
      </c>
      <c r="C1135" t="inlineStr">
        <is>
          <t>MAD07</t>
        </is>
      </c>
      <c r="D1135" t="n">
        <v>0.5</v>
      </c>
      <c r="E1135" t="inlineStr">
        <is>
          <t>KP - Project Director</t>
        </is>
      </c>
      <c r="F1135">
        <f>SUMIF($A$2:$A$1594,A1135,$D$2:$D$1594)</f>
        <v/>
      </c>
    </row>
    <row r="1136">
      <c r="A1136" t="inlineStr">
        <is>
          <t>Mawandia, Shreshth</t>
        </is>
      </c>
      <c r="B1136" t="inlineStr">
        <is>
          <t>Madagascar</t>
        </is>
      </c>
      <c r="C1136" t="inlineStr">
        <is>
          <t>MAD08</t>
        </is>
      </c>
      <c r="D1136" t="n">
        <v>0.5</v>
      </c>
      <c r="E1136" t="inlineStr">
        <is>
          <t>KP - Project Director</t>
        </is>
      </c>
      <c r="F1136">
        <f>SUMIF($A$2:$A$1594,A1136,$D$2:$D$1594)</f>
        <v/>
      </c>
    </row>
    <row r="1137">
      <c r="A1137" t="inlineStr">
        <is>
          <t>Mawandia, Shreshth</t>
        </is>
      </c>
      <c r="B1137" t="inlineStr">
        <is>
          <t>Madagascar</t>
        </is>
      </c>
      <c r="C1137" t="inlineStr">
        <is>
          <t>MAD09</t>
        </is>
      </c>
      <c r="D1137" t="n">
        <v>0.5</v>
      </c>
      <c r="E1137" t="inlineStr">
        <is>
          <t>KP - Project Director</t>
        </is>
      </c>
      <c r="F1137">
        <f>SUMIF($A$2:$A$1594,A1137,$D$2:$D$1594)</f>
        <v/>
      </c>
    </row>
    <row r="1138">
      <c r="A1138" t="inlineStr">
        <is>
          <t>Mawandia, Shreshth</t>
        </is>
      </c>
      <c r="B1138" t="inlineStr">
        <is>
          <t>Madagascar</t>
        </is>
      </c>
      <c r="C1138" t="inlineStr">
        <is>
          <t>MAD10</t>
        </is>
      </c>
      <c r="D1138" t="n">
        <v>0.5</v>
      </c>
      <c r="E1138" t="inlineStr">
        <is>
          <t>KP - Project Director</t>
        </is>
      </c>
      <c r="F1138">
        <f>SUMIF($A$2:$A$1594,A1138,$D$2:$D$1594)</f>
        <v/>
      </c>
    </row>
    <row r="1139">
      <c r="A1139" t="inlineStr">
        <is>
          <t>Mawandia, Shreshth</t>
        </is>
      </c>
      <c r="B1139" t="inlineStr">
        <is>
          <t>Madagascar</t>
        </is>
      </c>
      <c r="C1139" t="inlineStr">
        <is>
          <t>MAD11</t>
        </is>
      </c>
      <c r="D1139" t="n">
        <v>1</v>
      </c>
      <c r="E1139" t="inlineStr">
        <is>
          <t>KP - Project Director</t>
        </is>
      </c>
      <c r="F1139">
        <f>SUMIF($A$2:$A$1594,A1139,$D$2:$D$1594)</f>
        <v/>
      </c>
    </row>
    <row r="1140">
      <c r="A1140" t="inlineStr">
        <is>
          <t>Nigussie, Netsanet</t>
        </is>
      </c>
      <c r="B1140" t="inlineStr">
        <is>
          <t>Madagascar</t>
        </is>
      </c>
      <c r="C1140" t="inlineStr">
        <is>
          <t>MAD01</t>
        </is>
      </c>
      <c r="D1140" t="n">
        <v>0.5</v>
      </c>
      <c r="E1140" t="inlineStr">
        <is>
          <t>KP - Technical Director</t>
        </is>
      </c>
      <c r="F1140">
        <f>SUMIF($A$2:$A$1594,A1140,$D$2:$D$1594)</f>
        <v/>
      </c>
    </row>
    <row r="1141">
      <c r="A1141" t="inlineStr">
        <is>
          <t>Nigussie, Netsanet</t>
        </is>
      </c>
      <c r="B1141" t="inlineStr">
        <is>
          <t>Madagascar</t>
        </is>
      </c>
      <c r="C1141" t="inlineStr">
        <is>
          <t>MAD02</t>
        </is>
      </c>
      <c r="D1141" t="n">
        <v>0.5</v>
      </c>
      <c r="E1141" t="inlineStr">
        <is>
          <t>KP - Technical Director</t>
        </is>
      </c>
      <c r="F1141">
        <f>SUMIF($A$2:$A$1594,A1141,$D$2:$D$1594)</f>
        <v/>
      </c>
    </row>
    <row r="1142">
      <c r="A1142" t="inlineStr">
        <is>
          <t>Nigussie, Netsanet</t>
        </is>
      </c>
      <c r="B1142" t="inlineStr">
        <is>
          <t>Madagascar</t>
        </is>
      </c>
      <c r="C1142" t="inlineStr">
        <is>
          <t>MAD03</t>
        </is>
      </c>
      <c r="D1142" t="n">
        <v>0.5</v>
      </c>
      <c r="E1142" t="inlineStr">
        <is>
          <t>KP - Technical Director</t>
        </is>
      </c>
      <c r="F1142">
        <f>SUMIF($A$2:$A$1594,A1142,$D$2:$D$1594)</f>
        <v/>
      </c>
    </row>
    <row r="1143">
      <c r="A1143" t="inlineStr">
        <is>
          <t>Nigussie, Netsanet</t>
        </is>
      </c>
      <c r="B1143" t="inlineStr">
        <is>
          <t>Madagascar</t>
        </is>
      </c>
      <c r="C1143" t="inlineStr">
        <is>
          <t>MAD04</t>
        </is>
      </c>
      <c r="D1143" t="n">
        <v>0.5</v>
      </c>
      <c r="E1143" t="inlineStr">
        <is>
          <t>KP - Technical Director</t>
        </is>
      </c>
      <c r="F1143">
        <f>SUMIF($A$2:$A$1594,A1143,$D$2:$D$1594)</f>
        <v/>
      </c>
    </row>
    <row r="1144">
      <c r="A1144" t="inlineStr">
        <is>
          <t>Nigussie, Netsanet</t>
        </is>
      </c>
      <c r="B1144" t="inlineStr">
        <is>
          <t>Madagascar</t>
        </is>
      </c>
      <c r="C1144" t="inlineStr">
        <is>
          <t>MAD05</t>
        </is>
      </c>
      <c r="D1144" t="n">
        <v>0.5</v>
      </c>
      <c r="E1144" t="inlineStr">
        <is>
          <t>KP - Technical Director</t>
        </is>
      </c>
      <c r="F1144">
        <f>SUMIF($A$2:$A$1594,A1144,$D$2:$D$1594)</f>
        <v/>
      </c>
    </row>
    <row r="1145">
      <c r="A1145" t="inlineStr">
        <is>
          <t>Nigussie, Netsanet</t>
        </is>
      </c>
      <c r="B1145" t="inlineStr">
        <is>
          <t>Madagascar</t>
        </is>
      </c>
      <c r="C1145" t="inlineStr">
        <is>
          <t>MAD06</t>
        </is>
      </c>
      <c r="D1145" t="n">
        <v>0.5</v>
      </c>
      <c r="E1145" t="inlineStr">
        <is>
          <t>KP - Technical Director</t>
        </is>
      </c>
      <c r="F1145">
        <f>SUMIF($A$2:$A$1594,A1145,$D$2:$D$1594)</f>
        <v/>
      </c>
    </row>
    <row r="1146">
      <c r="A1146" t="inlineStr">
        <is>
          <t>Nigussie, Netsanet</t>
        </is>
      </c>
      <c r="B1146" t="inlineStr">
        <is>
          <t>Madagascar</t>
        </is>
      </c>
      <c r="C1146" t="inlineStr">
        <is>
          <t>MAD07</t>
        </is>
      </c>
      <c r="D1146" t="n">
        <v>0.5</v>
      </c>
      <c r="E1146" t="inlineStr">
        <is>
          <t>KP - Technical Director</t>
        </is>
      </c>
      <c r="F1146">
        <f>SUMIF($A$2:$A$1594,A1146,$D$2:$D$1594)</f>
        <v/>
      </c>
    </row>
    <row r="1147">
      <c r="A1147" t="inlineStr">
        <is>
          <t>Nigussie, Netsanet</t>
        </is>
      </c>
      <c r="B1147" t="inlineStr">
        <is>
          <t>Madagascar</t>
        </is>
      </c>
      <c r="C1147" t="inlineStr">
        <is>
          <t>MAD08</t>
        </is>
      </c>
      <c r="D1147" t="n">
        <v>0.5</v>
      </c>
      <c r="E1147" t="inlineStr">
        <is>
          <t>KP - Technical Director</t>
        </is>
      </c>
      <c r="F1147">
        <f>SUMIF($A$2:$A$1594,A1147,$D$2:$D$1594)</f>
        <v/>
      </c>
    </row>
    <row r="1148">
      <c r="A1148" t="inlineStr">
        <is>
          <t>Nigussie, Netsanet</t>
        </is>
      </c>
      <c r="B1148" t="inlineStr">
        <is>
          <t>Madagascar</t>
        </is>
      </c>
      <c r="C1148" t="inlineStr">
        <is>
          <t>MAD09</t>
        </is>
      </c>
      <c r="D1148" t="n">
        <v>0.5</v>
      </c>
      <c r="E1148" t="inlineStr">
        <is>
          <t>KP - Technical Director</t>
        </is>
      </c>
      <c r="F1148">
        <f>SUMIF($A$2:$A$1594,A1148,$D$2:$D$1594)</f>
        <v/>
      </c>
    </row>
    <row r="1149">
      <c r="A1149" t="inlineStr">
        <is>
          <t>Nigussie, Netsanet</t>
        </is>
      </c>
      <c r="B1149" t="inlineStr">
        <is>
          <t>Madagascar</t>
        </is>
      </c>
      <c r="C1149" t="inlineStr">
        <is>
          <t>MAD10</t>
        </is>
      </c>
      <c r="D1149" t="n">
        <v>0.5</v>
      </c>
      <c r="E1149" t="inlineStr">
        <is>
          <t>KP - Technical Director</t>
        </is>
      </c>
      <c r="F1149">
        <f>SUMIF($A$2:$A$1594,A1149,$D$2:$D$1594)</f>
        <v/>
      </c>
    </row>
    <row r="1150">
      <c r="A1150" t="inlineStr">
        <is>
          <t>Nigussie, Netsanet</t>
        </is>
      </c>
      <c r="B1150" t="inlineStr">
        <is>
          <t>Madagascar</t>
        </is>
      </c>
      <c r="C1150" t="inlineStr">
        <is>
          <t>MAD11</t>
        </is>
      </c>
      <c r="D1150" t="n">
        <v>1</v>
      </c>
      <c r="E1150" t="inlineStr">
        <is>
          <t>KP - Technical Director</t>
        </is>
      </c>
      <c r="F1150">
        <f>SUMIF($A$2:$A$1594,A1150,$D$2:$D$1594)</f>
        <v/>
      </c>
    </row>
    <row r="1151">
      <c r="A1151" t="inlineStr">
        <is>
          <t>Mensah, Margaret</t>
        </is>
      </c>
      <c r="B1151" t="inlineStr">
        <is>
          <t>Madagascar</t>
        </is>
      </c>
      <c r="C1151" t="inlineStr">
        <is>
          <t>MAD01</t>
        </is>
      </c>
      <c r="D1151" t="n">
        <v>0.5</v>
      </c>
      <c r="E1151" t="inlineStr">
        <is>
          <t>KP - Finance Director</t>
        </is>
      </c>
      <c r="F1151">
        <f>SUMIF($A$2:$A$1594,A1151,$D$2:$D$1594)</f>
        <v/>
      </c>
    </row>
    <row r="1152">
      <c r="A1152" t="inlineStr">
        <is>
          <t>Mensah, Margaret</t>
        </is>
      </c>
      <c r="B1152" t="inlineStr">
        <is>
          <t>Madagascar</t>
        </is>
      </c>
      <c r="C1152" t="inlineStr">
        <is>
          <t>MAD02</t>
        </is>
      </c>
      <c r="D1152" t="n">
        <v>0.5</v>
      </c>
      <c r="E1152" t="inlineStr">
        <is>
          <t>KP - Finance Director</t>
        </is>
      </c>
      <c r="F1152">
        <f>SUMIF($A$2:$A$1594,A1152,$D$2:$D$1594)</f>
        <v/>
      </c>
    </row>
    <row r="1153">
      <c r="A1153" t="inlineStr">
        <is>
          <t>Mensah, Margaret</t>
        </is>
      </c>
      <c r="B1153" t="inlineStr">
        <is>
          <t>Madagascar</t>
        </is>
      </c>
      <c r="C1153" t="inlineStr">
        <is>
          <t>MAD03</t>
        </is>
      </c>
      <c r="D1153" t="n">
        <v>0.5</v>
      </c>
      <c r="E1153" t="inlineStr">
        <is>
          <t>KP - Finance Director</t>
        </is>
      </c>
      <c r="F1153">
        <f>SUMIF($A$2:$A$1594,A1153,$D$2:$D$1594)</f>
        <v/>
      </c>
    </row>
    <row r="1154">
      <c r="A1154" t="inlineStr">
        <is>
          <t>Mensah, Margaret</t>
        </is>
      </c>
      <c r="B1154" t="inlineStr">
        <is>
          <t>Madagascar</t>
        </is>
      </c>
      <c r="C1154" t="inlineStr">
        <is>
          <t>MAD04</t>
        </is>
      </c>
      <c r="D1154" t="n">
        <v>0.5</v>
      </c>
      <c r="E1154" t="inlineStr">
        <is>
          <t>KP - Finance Director</t>
        </is>
      </c>
      <c r="F1154">
        <f>SUMIF($A$2:$A$1594,A1154,$D$2:$D$1594)</f>
        <v/>
      </c>
    </row>
    <row r="1155">
      <c r="A1155" t="inlineStr">
        <is>
          <t>Mensah, Margaret</t>
        </is>
      </c>
      <c r="B1155" t="inlineStr">
        <is>
          <t>Madagascar</t>
        </is>
      </c>
      <c r="C1155" t="inlineStr">
        <is>
          <t>MAD05</t>
        </is>
      </c>
      <c r="D1155" t="n">
        <v>0.5</v>
      </c>
      <c r="E1155" t="inlineStr">
        <is>
          <t>KP - Finance Director</t>
        </is>
      </c>
      <c r="F1155">
        <f>SUMIF($A$2:$A$1594,A1155,$D$2:$D$1594)</f>
        <v/>
      </c>
    </row>
    <row r="1156">
      <c r="A1156" t="inlineStr">
        <is>
          <t>Mensah, Margaret</t>
        </is>
      </c>
      <c r="B1156" t="inlineStr">
        <is>
          <t>Madagascar</t>
        </is>
      </c>
      <c r="C1156" t="inlineStr">
        <is>
          <t>MAD06</t>
        </is>
      </c>
      <c r="D1156" t="n">
        <v>0.5</v>
      </c>
      <c r="E1156" t="inlineStr">
        <is>
          <t>KP - Finance Director</t>
        </is>
      </c>
      <c r="F1156">
        <f>SUMIF($A$2:$A$1594,A1156,$D$2:$D$1594)</f>
        <v/>
      </c>
    </row>
    <row r="1157">
      <c r="A1157" t="inlineStr">
        <is>
          <t>Mensah, Margaret</t>
        </is>
      </c>
      <c r="B1157" t="inlineStr">
        <is>
          <t>Madagascar</t>
        </is>
      </c>
      <c r="C1157" t="inlineStr">
        <is>
          <t>MAD07</t>
        </is>
      </c>
      <c r="D1157" t="n">
        <v>0.5</v>
      </c>
      <c r="E1157" t="inlineStr">
        <is>
          <t>KP - Finance Director</t>
        </is>
      </c>
      <c r="F1157">
        <f>SUMIF($A$2:$A$1594,A1157,$D$2:$D$1594)</f>
        <v/>
      </c>
    </row>
    <row r="1158">
      <c r="A1158" t="inlineStr">
        <is>
          <t>Mensah, Margaret</t>
        </is>
      </c>
      <c r="B1158" t="inlineStr">
        <is>
          <t>Madagascar</t>
        </is>
      </c>
      <c r="C1158" t="inlineStr">
        <is>
          <t>MAD08</t>
        </is>
      </c>
      <c r="D1158" t="n">
        <v>0.5</v>
      </c>
      <c r="E1158" t="inlineStr">
        <is>
          <t>KP - Finance Director</t>
        </is>
      </c>
      <c r="F1158">
        <f>SUMIF($A$2:$A$1594,A1158,$D$2:$D$1594)</f>
        <v/>
      </c>
    </row>
    <row r="1159">
      <c r="A1159" t="inlineStr">
        <is>
          <t>Mensah, Margaret</t>
        </is>
      </c>
      <c r="B1159" t="inlineStr">
        <is>
          <t>Madagascar</t>
        </is>
      </c>
      <c r="C1159" t="inlineStr">
        <is>
          <t>MAD09</t>
        </is>
      </c>
      <c r="D1159" t="n">
        <v>0.5</v>
      </c>
      <c r="E1159" t="inlineStr">
        <is>
          <t>KP - Finance Director</t>
        </is>
      </c>
      <c r="F1159">
        <f>SUMIF($A$2:$A$1594,A1159,$D$2:$D$1594)</f>
        <v/>
      </c>
    </row>
    <row r="1160">
      <c r="A1160" t="inlineStr">
        <is>
          <t>Mensah, Margaret</t>
        </is>
      </c>
      <c r="B1160" t="inlineStr">
        <is>
          <t>Madagascar</t>
        </is>
      </c>
      <c r="C1160" t="inlineStr">
        <is>
          <t>MAD10</t>
        </is>
      </c>
      <c r="D1160" t="n">
        <v>0.5</v>
      </c>
      <c r="E1160" t="inlineStr">
        <is>
          <t>KP - Finance Director</t>
        </is>
      </c>
      <c r="F1160">
        <f>SUMIF($A$2:$A$1594,A1160,$D$2:$D$1594)</f>
        <v/>
      </c>
    </row>
    <row r="1161">
      <c r="A1161" t="inlineStr">
        <is>
          <t>Mensah, Margaret</t>
        </is>
      </c>
      <c r="B1161" t="inlineStr">
        <is>
          <t>Madagascar</t>
        </is>
      </c>
      <c r="C1161" t="inlineStr">
        <is>
          <t>MAD11</t>
        </is>
      </c>
      <c r="D1161" t="n">
        <v>1</v>
      </c>
      <c r="E1161" t="inlineStr">
        <is>
          <t>KP - Finance Director</t>
        </is>
      </c>
      <c r="F1161">
        <f>SUMIF($A$2:$A$1594,A1161,$D$2:$D$1594)</f>
        <v/>
      </c>
    </row>
    <row r="1162">
      <c r="A1162" t="inlineStr">
        <is>
          <t>Friedman, Jonathan</t>
        </is>
      </c>
      <c r="B1162" t="inlineStr">
        <is>
          <t>Madagascar</t>
        </is>
      </c>
      <c r="C1162" t="inlineStr">
        <is>
          <t>MAD01</t>
        </is>
      </c>
      <c r="D1162" t="n">
        <v>0.5</v>
      </c>
      <c r="E1162" t="inlineStr">
        <is>
          <t>AI/ML Lead</t>
        </is>
      </c>
      <c r="F1162">
        <f>SUMIF($A$2:$A$1594,A1162,$D$2:$D$1594)</f>
        <v/>
      </c>
    </row>
    <row r="1163">
      <c r="A1163" t="inlineStr">
        <is>
          <t>Friedman, Jonathan</t>
        </is>
      </c>
      <c r="B1163" t="inlineStr">
        <is>
          <t>Madagascar</t>
        </is>
      </c>
      <c r="C1163" t="inlineStr">
        <is>
          <t>MAD02</t>
        </is>
      </c>
      <c r="D1163" t="n">
        <v>0.5</v>
      </c>
      <c r="E1163" t="inlineStr">
        <is>
          <t>AI/ML Lead</t>
        </is>
      </c>
      <c r="F1163">
        <f>SUMIF($A$2:$A$1594,A1163,$D$2:$D$1594)</f>
        <v/>
      </c>
    </row>
    <row r="1164">
      <c r="A1164" t="inlineStr">
        <is>
          <t>Friedman, Jonathan</t>
        </is>
      </c>
      <c r="B1164" t="inlineStr">
        <is>
          <t>Madagascar</t>
        </is>
      </c>
      <c r="C1164" t="inlineStr">
        <is>
          <t>MAD03</t>
        </is>
      </c>
      <c r="D1164" t="n">
        <v>0.5</v>
      </c>
      <c r="E1164" t="inlineStr">
        <is>
          <t>AI/ML Lead</t>
        </is>
      </c>
      <c r="F1164">
        <f>SUMIF($A$2:$A$1594,A1164,$D$2:$D$1594)</f>
        <v/>
      </c>
    </row>
    <row r="1165">
      <c r="A1165" t="inlineStr">
        <is>
          <t>Friedman, Jonathan</t>
        </is>
      </c>
      <c r="B1165" t="inlineStr">
        <is>
          <t>Madagascar</t>
        </is>
      </c>
      <c r="C1165" t="inlineStr">
        <is>
          <t>MAD04</t>
        </is>
      </c>
      <c r="D1165" t="n">
        <v>0.5</v>
      </c>
      <c r="E1165" t="inlineStr">
        <is>
          <t>AI/ML Lead</t>
        </is>
      </c>
      <c r="F1165">
        <f>SUMIF($A$2:$A$1594,A1165,$D$2:$D$1594)</f>
        <v/>
      </c>
    </row>
    <row r="1166">
      <c r="A1166" t="inlineStr">
        <is>
          <t>Friedman, Jonathan</t>
        </is>
      </c>
      <c r="B1166" t="inlineStr">
        <is>
          <t>Madagascar</t>
        </is>
      </c>
      <c r="C1166" t="inlineStr">
        <is>
          <t>MAD05</t>
        </is>
      </c>
      <c r="D1166" t="n">
        <v>0.5</v>
      </c>
      <c r="E1166" t="inlineStr">
        <is>
          <t>AI/ML Lead</t>
        </is>
      </c>
      <c r="F1166">
        <f>SUMIF($A$2:$A$1594,A1166,$D$2:$D$1594)</f>
        <v/>
      </c>
    </row>
    <row r="1167">
      <c r="A1167" t="inlineStr">
        <is>
          <t>Friedman, Jonathan</t>
        </is>
      </c>
      <c r="B1167" t="inlineStr">
        <is>
          <t>Madagascar</t>
        </is>
      </c>
      <c r="C1167" t="inlineStr">
        <is>
          <t>MAD06</t>
        </is>
      </c>
      <c r="D1167" t="n">
        <v>0.5</v>
      </c>
      <c r="E1167" t="inlineStr">
        <is>
          <t>AI/ML Lead</t>
        </is>
      </c>
      <c r="F1167">
        <f>SUMIF($A$2:$A$1594,A1167,$D$2:$D$1594)</f>
        <v/>
      </c>
    </row>
    <row r="1168">
      <c r="A1168" t="inlineStr">
        <is>
          <t>Friedman, Jonathan</t>
        </is>
      </c>
      <c r="B1168" t="inlineStr">
        <is>
          <t>Madagascar</t>
        </is>
      </c>
      <c r="C1168" t="inlineStr">
        <is>
          <t>MAD07</t>
        </is>
      </c>
      <c r="D1168" t="n">
        <v>0.5</v>
      </c>
      <c r="E1168" t="inlineStr">
        <is>
          <t>AI/ML Lead</t>
        </is>
      </c>
      <c r="F1168">
        <f>SUMIF($A$2:$A$1594,A1168,$D$2:$D$1594)</f>
        <v/>
      </c>
    </row>
    <row r="1169">
      <c r="A1169" t="inlineStr">
        <is>
          <t>Friedman, Jonathan</t>
        </is>
      </c>
      <c r="B1169" t="inlineStr">
        <is>
          <t>Madagascar</t>
        </is>
      </c>
      <c r="C1169" t="inlineStr">
        <is>
          <t>MAD08</t>
        </is>
      </c>
      <c r="D1169" t="n">
        <v>0.5</v>
      </c>
      <c r="E1169" t="inlineStr">
        <is>
          <t>AI/ML Lead</t>
        </is>
      </c>
      <c r="F1169">
        <f>SUMIF($A$2:$A$1594,A1169,$D$2:$D$1594)</f>
        <v/>
      </c>
    </row>
    <row r="1170">
      <c r="A1170" t="inlineStr">
        <is>
          <t>Friedman, Jonathan</t>
        </is>
      </c>
      <c r="B1170" t="inlineStr">
        <is>
          <t>Madagascar</t>
        </is>
      </c>
      <c r="C1170" t="inlineStr">
        <is>
          <t>MAD09</t>
        </is>
      </c>
      <c r="D1170" t="n">
        <v>0.5</v>
      </c>
      <c r="E1170" t="inlineStr">
        <is>
          <t>AI/ML Lead</t>
        </is>
      </c>
      <c r="F1170">
        <f>SUMIF($A$2:$A$1594,A1170,$D$2:$D$1594)</f>
        <v/>
      </c>
    </row>
    <row r="1171">
      <c r="A1171" t="inlineStr">
        <is>
          <t>Friedman, Jonathan</t>
        </is>
      </c>
      <c r="B1171" t="inlineStr">
        <is>
          <t>Madagascar</t>
        </is>
      </c>
      <c r="C1171" t="inlineStr">
        <is>
          <t>MAD10</t>
        </is>
      </c>
      <c r="D1171" t="n">
        <v>0.5</v>
      </c>
      <c r="E1171" t="inlineStr">
        <is>
          <t>AI/ML Lead</t>
        </is>
      </c>
      <c r="F1171">
        <f>SUMIF($A$2:$A$1594,A1171,$D$2:$D$1594)</f>
        <v/>
      </c>
    </row>
    <row r="1172">
      <c r="A1172" t="inlineStr">
        <is>
          <t>Friedman, Jonathan</t>
        </is>
      </c>
      <c r="B1172" t="inlineStr">
        <is>
          <t>Madagascar</t>
        </is>
      </c>
      <c r="C1172" t="inlineStr">
        <is>
          <t>MAD11</t>
        </is>
      </c>
      <c r="D1172" t="n">
        <v>1</v>
      </c>
      <c r="E1172" t="inlineStr">
        <is>
          <t>AI/ML Lead</t>
        </is>
      </c>
      <c r="F1172">
        <f>SUMIF($A$2:$A$1594,A1172,$D$2:$D$1594)</f>
        <v/>
      </c>
    </row>
    <row r="1173">
      <c r="A1173" t="inlineStr">
        <is>
          <t>Mavyuva, Boniface</t>
        </is>
      </c>
      <c r="B1173" t="inlineStr">
        <is>
          <t>Madagascar</t>
        </is>
      </c>
      <c r="C1173" t="inlineStr">
        <is>
          <t>MAD01</t>
        </is>
      </c>
      <c r="D1173" t="n">
        <v>0.5</v>
      </c>
      <c r="E1173" t="inlineStr">
        <is>
          <t>Dig Infrastructure Lead</t>
        </is>
      </c>
      <c r="F1173">
        <f>SUMIF($A$2:$A$1594,A1173,$D$2:$D$1594)</f>
        <v/>
      </c>
    </row>
    <row r="1174">
      <c r="A1174" t="inlineStr">
        <is>
          <t>Mavyuva, Boniface</t>
        </is>
      </c>
      <c r="B1174" t="inlineStr">
        <is>
          <t>Madagascar</t>
        </is>
      </c>
      <c r="C1174" t="inlineStr">
        <is>
          <t>MAD03</t>
        </is>
      </c>
      <c r="D1174" t="n">
        <v>0.5</v>
      </c>
      <c r="E1174" t="inlineStr">
        <is>
          <t>Dig Infrastructure Lead</t>
        </is>
      </c>
      <c r="F1174">
        <f>SUMIF($A$2:$A$1594,A1174,$D$2:$D$1594)</f>
        <v/>
      </c>
    </row>
    <row r="1175">
      <c r="A1175" t="inlineStr">
        <is>
          <t>Mavyuva, Boniface</t>
        </is>
      </c>
      <c r="B1175" t="inlineStr">
        <is>
          <t>Madagascar</t>
        </is>
      </c>
      <c r="C1175" t="inlineStr">
        <is>
          <t>MAD05</t>
        </is>
      </c>
      <c r="D1175" t="n">
        <v>0.5</v>
      </c>
      <c r="E1175" t="inlineStr">
        <is>
          <t>Dig Infrastructure Lead</t>
        </is>
      </c>
      <c r="F1175">
        <f>SUMIF($A$2:$A$1594,A1175,$D$2:$D$1594)</f>
        <v/>
      </c>
    </row>
    <row r="1176">
      <c r="A1176" t="inlineStr">
        <is>
          <t>Ogana, Nelson</t>
        </is>
      </c>
      <c r="B1176" t="inlineStr">
        <is>
          <t>Madagascar</t>
        </is>
      </c>
      <c r="C1176" t="inlineStr">
        <is>
          <t>MAD01</t>
        </is>
      </c>
      <c r="D1176" t="n">
        <v>0.5</v>
      </c>
      <c r="E1176" t="inlineStr">
        <is>
          <t>Infosec Co-Lead</t>
        </is>
      </c>
      <c r="F1176">
        <f>SUMIF($A$2:$A$1594,A1176,$D$2:$D$1594)</f>
        <v/>
      </c>
    </row>
    <row r="1177">
      <c r="A1177" t="inlineStr">
        <is>
          <t>Ogana, Nelson</t>
        </is>
      </c>
      <c r="B1177" t="inlineStr">
        <is>
          <t>Madagascar</t>
        </is>
      </c>
      <c r="C1177" t="inlineStr">
        <is>
          <t>MAD02</t>
        </is>
      </c>
      <c r="D1177" t="n">
        <v>0.5</v>
      </c>
      <c r="E1177" t="inlineStr">
        <is>
          <t>Infosec Co-Lead</t>
        </is>
      </c>
      <c r="F1177">
        <f>SUMIF($A$2:$A$1594,A1177,$D$2:$D$1594)</f>
        <v/>
      </c>
    </row>
    <row r="1178">
      <c r="A1178" t="inlineStr">
        <is>
          <t>Ogana, Nelson</t>
        </is>
      </c>
      <c r="B1178" t="inlineStr">
        <is>
          <t>Madagascar</t>
        </is>
      </c>
      <c r="C1178" t="inlineStr">
        <is>
          <t>MAD03</t>
        </is>
      </c>
      <c r="D1178" t="n">
        <v>0.5</v>
      </c>
      <c r="E1178" t="inlineStr">
        <is>
          <t>Infosec Co-Lead</t>
        </is>
      </c>
      <c r="F1178">
        <f>SUMIF($A$2:$A$1594,A1178,$D$2:$D$1594)</f>
        <v/>
      </c>
    </row>
    <row r="1179">
      <c r="A1179" t="inlineStr">
        <is>
          <t>Ogana, Nelson</t>
        </is>
      </c>
      <c r="B1179" t="inlineStr">
        <is>
          <t>Madagascar</t>
        </is>
      </c>
      <c r="C1179" t="inlineStr">
        <is>
          <t>MAD04</t>
        </is>
      </c>
      <c r="D1179" t="n">
        <v>0.5</v>
      </c>
      <c r="E1179" t="inlineStr">
        <is>
          <t>Infosec Co-Lead</t>
        </is>
      </c>
      <c r="F1179">
        <f>SUMIF($A$2:$A$1594,A1179,$D$2:$D$1594)</f>
        <v/>
      </c>
    </row>
    <row r="1180">
      <c r="A1180" t="inlineStr">
        <is>
          <t>Ogana, Nelson</t>
        </is>
      </c>
      <c r="B1180" t="inlineStr">
        <is>
          <t>Madagascar</t>
        </is>
      </c>
      <c r="C1180" t="inlineStr">
        <is>
          <t>MAD05</t>
        </is>
      </c>
      <c r="D1180" t="n">
        <v>0.5</v>
      </c>
      <c r="E1180" t="inlineStr">
        <is>
          <t>Infosec Co-Lead</t>
        </is>
      </c>
      <c r="F1180">
        <f>SUMIF($A$2:$A$1594,A1180,$D$2:$D$1594)</f>
        <v/>
      </c>
    </row>
    <row r="1181">
      <c r="A1181" t="inlineStr">
        <is>
          <t>Ogana, Nelson</t>
        </is>
      </c>
      <c r="B1181" t="inlineStr">
        <is>
          <t>Madagascar</t>
        </is>
      </c>
      <c r="C1181" t="inlineStr">
        <is>
          <t>MAD06</t>
        </is>
      </c>
      <c r="D1181" t="n">
        <v>0.5</v>
      </c>
      <c r="E1181" t="inlineStr">
        <is>
          <t>Infosec Co-Lead</t>
        </is>
      </c>
      <c r="F1181">
        <f>SUMIF($A$2:$A$1594,A1181,$D$2:$D$1594)</f>
        <v/>
      </c>
    </row>
    <row r="1182">
      <c r="A1182" t="inlineStr">
        <is>
          <t>Ogana, Nelson</t>
        </is>
      </c>
      <c r="B1182" t="inlineStr">
        <is>
          <t>Madagascar</t>
        </is>
      </c>
      <c r="C1182" t="inlineStr">
        <is>
          <t>MAD07</t>
        </is>
      </c>
      <c r="D1182" t="n">
        <v>0.5</v>
      </c>
      <c r="E1182" t="inlineStr">
        <is>
          <t>Infosec Co-Lead</t>
        </is>
      </c>
      <c r="F1182">
        <f>SUMIF($A$2:$A$1594,A1182,$D$2:$D$1594)</f>
        <v/>
      </c>
    </row>
    <row r="1183">
      <c r="A1183" t="inlineStr">
        <is>
          <t>Ogana, Nelson</t>
        </is>
      </c>
      <c r="B1183" t="inlineStr">
        <is>
          <t>Madagascar</t>
        </is>
      </c>
      <c r="C1183" t="inlineStr">
        <is>
          <t>MAD08</t>
        </is>
      </c>
      <c r="D1183" t="n">
        <v>0.5</v>
      </c>
      <c r="E1183" t="inlineStr">
        <is>
          <t>Infosec Co-Lead</t>
        </is>
      </c>
      <c r="F1183">
        <f>SUMIF($A$2:$A$1594,A1183,$D$2:$D$1594)</f>
        <v/>
      </c>
    </row>
    <row r="1184">
      <c r="A1184" t="inlineStr">
        <is>
          <t>Ogana, Nelson</t>
        </is>
      </c>
      <c r="B1184" t="inlineStr">
        <is>
          <t>Madagascar</t>
        </is>
      </c>
      <c r="C1184" t="inlineStr">
        <is>
          <t>MAD09</t>
        </is>
      </c>
      <c r="D1184" t="n">
        <v>0.5</v>
      </c>
      <c r="E1184" t="inlineStr">
        <is>
          <t>Infosec Co-Lead</t>
        </is>
      </c>
      <c r="F1184">
        <f>SUMIF($A$2:$A$1594,A1184,$D$2:$D$1594)</f>
        <v/>
      </c>
    </row>
    <row r="1185">
      <c r="A1185" t="inlineStr">
        <is>
          <t>Ogana, Nelson</t>
        </is>
      </c>
      <c r="B1185" t="inlineStr">
        <is>
          <t>Madagascar</t>
        </is>
      </c>
      <c r="C1185" t="inlineStr">
        <is>
          <t>MAD10</t>
        </is>
      </c>
      <c r="D1185" t="n">
        <v>0.5</v>
      </c>
      <c r="E1185" t="inlineStr">
        <is>
          <t>Infosec Co-Lead</t>
        </is>
      </c>
      <c r="F1185">
        <f>SUMIF($A$2:$A$1594,A1185,$D$2:$D$1594)</f>
        <v/>
      </c>
    </row>
    <row r="1186">
      <c r="A1186" t="inlineStr">
        <is>
          <t>Ogana, Nelson</t>
        </is>
      </c>
      <c r="B1186" t="inlineStr">
        <is>
          <t>Madagascar</t>
        </is>
      </c>
      <c r="C1186" t="inlineStr">
        <is>
          <t>MAD11</t>
        </is>
      </c>
      <c r="D1186" t="n">
        <v>1</v>
      </c>
      <c r="E1186" t="inlineStr">
        <is>
          <t>Infosec Co-Lead</t>
        </is>
      </c>
      <c r="F1186">
        <f>SUMIF($A$2:$A$1594,A1186,$D$2:$D$1594)</f>
        <v/>
      </c>
    </row>
    <row r="1187">
      <c r="A1187" t="inlineStr">
        <is>
          <t>Showalter, Caitlin</t>
        </is>
      </c>
      <c r="B1187" t="inlineStr">
        <is>
          <t>Madagascar</t>
        </is>
      </c>
      <c r="C1187" t="inlineStr">
        <is>
          <t>MAD01</t>
        </is>
      </c>
      <c r="D1187" t="n">
        <v>0.5</v>
      </c>
      <c r="E1187" t="inlineStr">
        <is>
          <t>M&amp;E and Learning</t>
        </is>
      </c>
      <c r="F1187">
        <f>SUMIF($A$2:$A$1594,A1187,$D$2:$D$1594)</f>
        <v/>
      </c>
    </row>
    <row r="1188">
      <c r="A1188" t="inlineStr">
        <is>
          <t>Showalter, Caitlin</t>
        </is>
      </c>
      <c r="B1188" t="inlineStr">
        <is>
          <t>Madagascar</t>
        </is>
      </c>
      <c r="C1188" t="inlineStr">
        <is>
          <t>MAD02</t>
        </is>
      </c>
      <c r="D1188" t="n">
        <v>0.5</v>
      </c>
      <c r="E1188" t="inlineStr">
        <is>
          <t>M&amp;E and Learning</t>
        </is>
      </c>
      <c r="F1188">
        <f>SUMIF($A$2:$A$1594,A1188,$D$2:$D$1594)</f>
        <v/>
      </c>
    </row>
    <row r="1189">
      <c r="A1189" t="inlineStr">
        <is>
          <t>Showalter, Caitlin</t>
        </is>
      </c>
      <c r="B1189" t="inlineStr">
        <is>
          <t>Madagascar</t>
        </is>
      </c>
      <c r="C1189" t="inlineStr">
        <is>
          <t>MAD03</t>
        </is>
      </c>
      <c r="D1189" t="n">
        <v>0.5</v>
      </c>
      <c r="E1189" t="inlineStr">
        <is>
          <t>M&amp;E and Learning</t>
        </is>
      </c>
      <c r="F1189">
        <f>SUMIF($A$2:$A$1594,A1189,$D$2:$D$1594)</f>
        <v/>
      </c>
    </row>
    <row r="1190">
      <c r="A1190" t="inlineStr">
        <is>
          <t>Showalter, Caitlin</t>
        </is>
      </c>
      <c r="B1190" t="inlineStr">
        <is>
          <t>Madagascar</t>
        </is>
      </c>
      <c r="C1190" t="inlineStr">
        <is>
          <t>MAD04</t>
        </is>
      </c>
      <c r="D1190" t="n">
        <v>0.5</v>
      </c>
      <c r="E1190" t="inlineStr">
        <is>
          <t>M&amp;E and Learning</t>
        </is>
      </c>
      <c r="F1190">
        <f>SUMIF($A$2:$A$1594,A1190,$D$2:$D$1594)</f>
        <v/>
      </c>
    </row>
    <row r="1191">
      <c r="A1191" t="inlineStr">
        <is>
          <t>Showalter, Caitlin</t>
        </is>
      </c>
      <c r="B1191" t="inlineStr">
        <is>
          <t>Madagascar</t>
        </is>
      </c>
      <c r="C1191" t="inlineStr">
        <is>
          <t>MAD05</t>
        </is>
      </c>
      <c r="D1191" t="n">
        <v>0.5</v>
      </c>
      <c r="E1191" t="inlineStr">
        <is>
          <t>M&amp;E and Learning</t>
        </is>
      </c>
      <c r="F1191">
        <f>SUMIF($A$2:$A$1594,A1191,$D$2:$D$1594)</f>
        <v/>
      </c>
    </row>
    <row r="1192">
      <c r="A1192" t="inlineStr">
        <is>
          <t>Showalter, Caitlin</t>
        </is>
      </c>
      <c r="B1192" t="inlineStr">
        <is>
          <t>Madagascar</t>
        </is>
      </c>
      <c r="C1192" t="inlineStr">
        <is>
          <t>MAD06</t>
        </is>
      </c>
      <c r="D1192" t="n">
        <v>0.5</v>
      </c>
      <c r="E1192" t="inlineStr">
        <is>
          <t>M&amp;E and Learning</t>
        </is>
      </c>
      <c r="F1192">
        <f>SUMIF($A$2:$A$1594,A1192,$D$2:$D$1594)</f>
        <v/>
      </c>
    </row>
    <row r="1193">
      <c r="A1193" t="inlineStr">
        <is>
          <t>Showalter, Caitlin</t>
        </is>
      </c>
      <c r="B1193" t="inlineStr">
        <is>
          <t>Madagascar</t>
        </is>
      </c>
      <c r="C1193" t="inlineStr">
        <is>
          <t>MAD07</t>
        </is>
      </c>
      <c r="D1193" t="n">
        <v>0.5</v>
      </c>
      <c r="E1193" t="inlineStr">
        <is>
          <t>M&amp;E and Learning</t>
        </is>
      </c>
      <c r="F1193">
        <f>SUMIF($A$2:$A$1594,A1193,$D$2:$D$1594)</f>
        <v/>
      </c>
    </row>
    <row r="1194">
      <c r="A1194" t="inlineStr">
        <is>
          <t>Showalter, Caitlin</t>
        </is>
      </c>
      <c r="B1194" t="inlineStr">
        <is>
          <t>Madagascar</t>
        </is>
      </c>
      <c r="C1194" t="inlineStr">
        <is>
          <t>MAD08</t>
        </is>
      </c>
      <c r="D1194" t="n">
        <v>0.5</v>
      </c>
      <c r="E1194" t="inlineStr">
        <is>
          <t>M&amp;E and Learning</t>
        </is>
      </c>
      <c r="F1194">
        <f>SUMIF($A$2:$A$1594,A1194,$D$2:$D$1594)</f>
        <v/>
      </c>
    </row>
    <row r="1195">
      <c r="A1195" t="inlineStr">
        <is>
          <t>Showalter, Caitlin</t>
        </is>
      </c>
      <c r="B1195" t="inlineStr">
        <is>
          <t>Madagascar</t>
        </is>
      </c>
      <c r="C1195" t="inlineStr">
        <is>
          <t>MAD09</t>
        </is>
      </c>
      <c r="D1195" t="n">
        <v>0.5</v>
      </c>
      <c r="E1195" t="inlineStr">
        <is>
          <t>M&amp;E and Learning</t>
        </is>
      </c>
      <c r="F1195">
        <f>SUMIF($A$2:$A$1594,A1195,$D$2:$D$1594)</f>
        <v/>
      </c>
    </row>
    <row r="1196">
      <c r="A1196" t="inlineStr">
        <is>
          <t>Showalter, Caitlin</t>
        </is>
      </c>
      <c r="B1196" t="inlineStr">
        <is>
          <t>Madagascar</t>
        </is>
      </c>
      <c r="C1196" t="inlineStr">
        <is>
          <t>MAD10</t>
        </is>
      </c>
      <c r="D1196" t="n">
        <v>0.5</v>
      </c>
      <c r="E1196" t="inlineStr">
        <is>
          <t>M&amp;E and Learning</t>
        </is>
      </c>
      <c r="F1196">
        <f>SUMIF($A$2:$A$1594,A1196,$D$2:$D$1594)</f>
        <v/>
      </c>
    </row>
    <row r="1197">
      <c r="A1197" t="inlineStr">
        <is>
          <t>Showalter, Caitlin</t>
        </is>
      </c>
      <c r="B1197" t="inlineStr">
        <is>
          <t>Madagascar</t>
        </is>
      </c>
      <c r="C1197" t="inlineStr">
        <is>
          <t>MAD11</t>
        </is>
      </c>
      <c r="D1197" t="n">
        <v>1</v>
      </c>
      <c r="E1197" t="inlineStr">
        <is>
          <t>M&amp;E and Learning</t>
        </is>
      </c>
      <c r="F1197">
        <f>SUMIF($A$2:$A$1594,A1197,$D$2:$D$1594)</f>
        <v/>
      </c>
    </row>
    <row r="1198">
      <c r="A1198" t="inlineStr">
        <is>
          <t>Miranda Rondon de Ro, Ing</t>
        </is>
      </c>
      <c r="B1198" t="inlineStr">
        <is>
          <t>Madagascar</t>
        </is>
      </c>
      <c r="C1198" t="inlineStr">
        <is>
          <t>MAD01</t>
        </is>
      </c>
      <c r="D1198" t="n">
        <v>0.5</v>
      </c>
      <c r="E1198" t="inlineStr">
        <is>
          <t>M&amp;E and Learning</t>
        </is>
      </c>
      <c r="F1198">
        <f>SUMIF($A$2:$A$1594,A1198,$D$2:$D$1594)</f>
        <v/>
      </c>
    </row>
    <row r="1199">
      <c r="A1199" t="inlineStr">
        <is>
          <t>Miranda Rondon de Ro, Ing</t>
        </is>
      </c>
      <c r="B1199" t="inlineStr">
        <is>
          <t>Madagascar</t>
        </is>
      </c>
      <c r="C1199" t="inlineStr">
        <is>
          <t>MAD02</t>
        </is>
      </c>
      <c r="D1199" t="n">
        <v>0.5</v>
      </c>
      <c r="E1199" t="inlineStr">
        <is>
          <t>M&amp;E and Learning</t>
        </is>
      </c>
      <c r="F1199">
        <f>SUMIF($A$2:$A$1594,A1199,$D$2:$D$1594)</f>
        <v/>
      </c>
    </row>
    <row r="1200">
      <c r="A1200" t="inlineStr">
        <is>
          <t>Miranda Rondon de Ro, Ing</t>
        </is>
      </c>
      <c r="B1200" t="inlineStr">
        <is>
          <t>Madagascar</t>
        </is>
      </c>
      <c r="C1200" t="inlineStr">
        <is>
          <t>MAD03</t>
        </is>
      </c>
      <c r="D1200" t="n">
        <v>0.5</v>
      </c>
      <c r="E1200" t="inlineStr">
        <is>
          <t>M&amp;E and Learning</t>
        </is>
      </c>
      <c r="F1200">
        <f>SUMIF($A$2:$A$1594,A1200,$D$2:$D$1594)</f>
        <v/>
      </c>
    </row>
    <row r="1201">
      <c r="A1201" t="inlineStr">
        <is>
          <t>Miranda Rondon de Ro, Ing</t>
        </is>
      </c>
      <c r="B1201" t="inlineStr">
        <is>
          <t>Madagascar</t>
        </is>
      </c>
      <c r="C1201" t="inlineStr">
        <is>
          <t>MAD04</t>
        </is>
      </c>
      <c r="D1201" t="n">
        <v>0.5</v>
      </c>
      <c r="E1201" t="inlineStr">
        <is>
          <t>M&amp;E and Learning</t>
        </is>
      </c>
      <c r="F1201">
        <f>SUMIF($A$2:$A$1594,A1201,$D$2:$D$1594)</f>
        <v/>
      </c>
    </row>
    <row r="1202">
      <c r="A1202" t="inlineStr">
        <is>
          <t>Miranda Rondon de Ro, Ing</t>
        </is>
      </c>
      <c r="B1202" t="inlineStr">
        <is>
          <t>Madagascar</t>
        </is>
      </c>
      <c r="C1202" t="inlineStr">
        <is>
          <t>MAD05</t>
        </is>
      </c>
      <c r="D1202" t="n">
        <v>0.5</v>
      </c>
      <c r="E1202" t="inlineStr">
        <is>
          <t>M&amp;E and Learning</t>
        </is>
      </c>
      <c r="F1202">
        <f>SUMIF($A$2:$A$1594,A1202,$D$2:$D$1594)</f>
        <v/>
      </c>
    </row>
    <row r="1203">
      <c r="A1203" t="inlineStr">
        <is>
          <t>Miranda Rondon de Ro, Ing</t>
        </is>
      </c>
      <c r="B1203" t="inlineStr">
        <is>
          <t>Madagascar</t>
        </is>
      </c>
      <c r="C1203" t="inlineStr">
        <is>
          <t>MAD06</t>
        </is>
      </c>
      <c r="D1203" t="n">
        <v>0.5</v>
      </c>
      <c r="E1203" t="inlineStr">
        <is>
          <t>M&amp;E and Learning</t>
        </is>
      </c>
      <c r="F1203">
        <f>SUMIF($A$2:$A$1594,A1203,$D$2:$D$1594)</f>
        <v/>
      </c>
    </row>
    <row r="1204">
      <c r="A1204" t="inlineStr">
        <is>
          <t>Miranda Rondon de Ro, Ing</t>
        </is>
      </c>
      <c r="B1204" t="inlineStr">
        <is>
          <t>Madagascar</t>
        </is>
      </c>
      <c r="C1204" t="inlineStr">
        <is>
          <t>MAD07</t>
        </is>
      </c>
      <c r="D1204" t="n">
        <v>0.5</v>
      </c>
      <c r="E1204" t="inlineStr">
        <is>
          <t>M&amp;E and Learning</t>
        </is>
      </c>
      <c r="F1204">
        <f>SUMIF($A$2:$A$1594,A1204,$D$2:$D$1594)</f>
        <v/>
      </c>
    </row>
    <row r="1205">
      <c r="A1205" t="inlineStr">
        <is>
          <t>Miranda Rondon de Ro, Ing</t>
        </is>
      </c>
      <c r="B1205" t="inlineStr">
        <is>
          <t>Madagascar</t>
        </is>
      </c>
      <c r="C1205" t="inlineStr">
        <is>
          <t>MAD08</t>
        </is>
      </c>
      <c r="D1205" t="n">
        <v>0.5</v>
      </c>
      <c r="E1205" t="inlineStr">
        <is>
          <t>M&amp;E and Learning</t>
        </is>
      </c>
      <c r="F1205">
        <f>SUMIF($A$2:$A$1594,A1205,$D$2:$D$1594)</f>
        <v/>
      </c>
    </row>
    <row r="1206">
      <c r="A1206" t="inlineStr">
        <is>
          <t>Miranda Rondon de Ro, Ing</t>
        </is>
      </c>
      <c r="B1206" t="inlineStr">
        <is>
          <t>Madagascar</t>
        </is>
      </c>
      <c r="C1206" t="inlineStr">
        <is>
          <t>MAD09</t>
        </is>
      </c>
      <c r="D1206" t="n">
        <v>0.5</v>
      </c>
      <c r="E1206" t="inlineStr">
        <is>
          <t>M&amp;E and Learning</t>
        </is>
      </c>
      <c r="F1206">
        <f>SUMIF($A$2:$A$1594,A1206,$D$2:$D$1594)</f>
        <v/>
      </c>
    </row>
    <row r="1207">
      <c r="A1207" t="inlineStr">
        <is>
          <t>Miranda Rondon de Ro, Ing</t>
        </is>
      </c>
      <c r="B1207" t="inlineStr">
        <is>
          <t>Madagascar</t>
        </is>
      </c>
      <c r="C1207" t="inlineStr">
        <is>
          <t>MAD10</t>
        </is>
      </c>
      <c r="D1207" t="n">
        <v>0.5</v>
      </c>
      <c r="E1207" t="inlineStr">
        <is>
          <t>M&amp;E and Learning</t>
        </is>
      </c>
      <c r="F1207">
        <f>SUMIF($A$2:$A$1594,A1207,$D$2:$D$1594)</f>
        <v/>
      </c>
    </row>
    <row r="1208">
      <c r="A1208" t="inlineStr">
        <is>
          <t>Miranda Rondon de Ro, Ing</t>
        </is>
      </c>
      <c r="B1208" t="inlineStr">
        <is>
          <t>Madagascar</t>
        </is>
      </c>
      <c r="C1208" t="inlineStr">
        <is>
          <t>MAD11</t>
        </is>
      </c>
      <c r="D1208" t="n">
        <v>1</v>
      </c>
      <c r="E1208" t="inlineStr">
        <is>
          <t>M&amp;E and Learning</t>
        </is>
      </c>
      <c r="F1208">
        <f>SUMIF($A$2:$A$1594,A1208,$D$2:$D$1594)</f>
        <v/>
      </c>
    </row>
    <row r="1209">
      <c r="A1209" t="inlineStr">
        <is>
          <t>Sakaguchi, Kevin</t>
        </is>
      </c>
      <c r="B1209" t="inlineStr">
        <is>
          <t>Madagascar</t>
        </is>
      </c>
      <c r="C1209" t="inlineStr">
        <is>
          <t>MAD01</t>
        </is>
      </c>
      <c r="D1209" t="n">
        <v>0.5</v>
      </c>
      <c r="E1209" t="inlineStr">
        <is>
          <t>M&amp;E and Learning</t>
        </is>
      </c>
      <c r="F1209">
        <f>SUMIF($A$2:$A$1594,A1209,$D$2:$D$1594)</f>
        <v/>
      </c>
    </row>
    <row r="1210">
      <c r="A1210" t="inlineStr">
        <is>
          <t>Sakaguchi, Kevin</t>
        </is>
      </c>
      <c r="B1210" t="inlineStr">
        <is>
          <t>Madagascar</t>
        </is>
      </c>
      <c r="C1210" t="inlineStr">
        <is>
          <t>MAD02</t>
        </is>
      </c>
      <c r="D1210" t="n">
        <v>0.5</v>
      </c>
      <c r="E1210" t="inlineStr">
        <is>
          <t>M&amp;E and Learning</t>
        </is>
      </c>
      <c r="F1210">
        <f>SUMIF($A$2:$A$1594,A1210,$D$2:$D$1594)</f>
        <v/>
      </c>
    </row>
    <row r="1211">
      <c r="A1211" t="inlineStr">
        <is>
          <t>Sakaguchi, Kevin</t>
        </is>
      </c>
      <c r="B1211" t="inlineStr">
        <is>
          <t>Madagascar</t>
        </is>
      </c>
      <c r="C1211" t="inlineStr">
        <is>
          <t>MAD03</t>
        </is>
      </c>
      <c r="D1211" t="n">
        <v>0.5</v>
      </c>
      <c r="E1211" t="inlineStr">
        <is>
          <t>M&amp;E and Learning</t>
        </is>
      </c>
      <c r="F1211">
        <f>SUMIF($A$2:$A$1594,A1211,$D$2:$D$1594)</f>
        <v/>
      </c>
    </row>
    <row r="1212">
      <c r="A1212" t="inlineStr">
        <is>
          <t>Sakaguchi, Kevin</t>
        </is>
      </c>
      <c r="B1212" t="inlineStr">
        <is>
          <t>Madagascar</t>
        </is>
      </c>
      <c r="C1212" t="inlineStr">
        <is>
          <t>MAD04</t>
        </is>
      </c>
      <c r="D1212" t="n">
        <v>0.5</v>
      </c>
      <c r="E1212" t="inlineStr">
        <is>
          <t>M&amp;E and Learning</t>
        </is>
      </c>
      <c r="F1212">
        <f>SUMIF($A$2:$A$1594,A1212,$D$2:$D$1594)</f>
        <v/>
      </c>
    </row>
    <row r="1213">
      <c r="A1213" t="inlineStr">
        <is>
          <t>Sakaguchi, Kevin</t>
        </is>
      </c>
      <c r="B1213" t="inlineStr">
        <is>
          <t>Madagascar</t>
        </is>
      </c>
      <c r="C1213" t="inlineStr">
        <is>
          <t>MAD05</t>
        </is>
      </c>
      <c r="D1213" t="n">
        <v>0.5</v>
      </c>
      <c r="E1213" t="inlineStr">
        <is>
          <t>M&amp;E and Learning</t>
        </is>
      </c>
      <c r="F1213">
        <f>SUMIF($A$2:$A$1594,A1213,$D$2:$D$1594)</f>
        <v/>
      </c>
    </row>
    <row r="1214">
      <c r="A1214" t="inlineStr">
        <is>
          <t>Sakaguchi, Kevin</t>
        </is>
      </c>
      <c r="B1214" t="inlineStr">
        <is>
          <t>Madagascar</t>
        </is>
      </c>
      <c r="C1214" t="inlineStr">
        <is>
          <t>MAD06</t>
        </is>
      </c>
      <c r="D1214" t="n">
        <v>0.5</v>
      </c>
      <c r="E1214" t="inlineStr">
        <is>
          <t>M&amp;E and Learning</t>
        </is>
      </c>
      <c r="F1214">
        <f>SUMIF($A$2:$A$1594,A1214,$D$2:$D$1594)</f>
        <v/>
      </c>
    </row>
    <row r="1215">
      <c r="A1215" t="inlineStr">
        <is>
          <t>Sakaguchi, Kevin</t>
        </is>
      </c>
      <c r="B1215" t="inlineStr">
        <is>
          <t>Madagascar</t>
        </is>
      </c>
      <c r="C1215" t="inlineStr">
        <is>
          <t>MAD07</t>
        </is>
      </c>
      <c r="D1215" t="n">
        <v>0.5</v>
      </c>
      <c r="E1215" t="inlineStr">
        <is>
          <t>M&amp;E and Learning</t>
        </is>
      </c>
      <c r="F1215">
        <f>SUMIF($A$2:$A$1594,A1215,$D$2:$D$1594)</f>
        <v/>
      </c>
    </row>
    <row r="1216">
      <c r="A1216" t="inlineStr">
        <is>
          <t>Sakaguchi, Kevin</t>
        </is>
      </c>
      <c r="B1216" t="inlineStr">
        <is>
          <t>Madagascar</t>
        </is>
      </c>
      <c r="C1216" t="inlineStr">
        <is>
          <t>MAD08</t>
        </is>
      </c>
      <c r="D1216" t="n">
        <v>0.5</v>
      </c>
      <c r="E1216" t="inlineStr">
        <is>
          <t>M&amp;E and Learning</t>
        </is>
      </c>
      <c r="F1216">
        <f>SUMIF($A$2:$A$1594,A1216,$D$2:$D$1594)</f>
        <v/>
      </c>
    </row>
    <row r="1217">
      <c r="A1217" t="inlineStr">
        <is>
          <t>Sakaguchi, Kevin</t>
        </is>
      </c>
      <c r="B1217" t="inlineStr">
        <is>
          <t>Madagascar</t>
        </is>
      </c>
      <c r="C1217" t="inlineStr">
        <is>
          <t>MAD09</t>
        </is>
      </c>
      <c r="D1217" t="n">
        <v>0.5</v>
      </c>
      <c r="E1217" t="inlineStr">
        <is>
          <t>M&amp;E and Learning</t>
        </is>
      </c>
      <c r="F1217">
        <f>SUMIF($A$2:$A$1594,A1217,$D$2:$D$1594)</f>
        <v/>
      </c>
    </row>
    <row r="1218">
      <c r="A1218" t="inlineStr">
        <is>
          <t>Sakaguchi, Kevin</t>
        </is>
      </c>
      <c r="B1218" t="inlineStr">
        <is>
          <t>Madagascar</t>
        </is>
      </c>
      <c r="C1218" t="inlineStr">
        <is>
          <t>MAD10</t>
        </is>
      </c>
      <c r="D1218" t="n">
        <v>0.5</v>
      </c>
      <c r="E1218" t="inlineStr">
        <is>
          <t>M&amp;E and Learning</t>
        </is>
      </c>
      <c r="F1218">
        <f>SUMIF($A$2:$A$1594,A1218,$D$2:$D$1594)</f>
        <v/>
      </c>
    </row>
    <row r="1219">
      <c r="A1219" t="inlineStr">
        <is>
          <t>Sakaguchi, Kevin</t>
        </is>
      </c>
      <c r="B1219" t="inlineStr">
        <is>
          <t>Madagascar</t>
        </is>
      </c>
      <c r="C1219" t="inlineStr">
        <is>
          <t>MAD11</t>
        </is>
      </c>
      <c r="D1219" t="n">
        <v>1</v>
      </c>
      <c r="E1219" t="inlineStr">
        <is>
          <t>M&amp;E and Learning</t>
        </is>
      </c>
      <c r="F1219">
        <f>SUMIF($A$2:$A$1594,A1219,$D$2:$D$1594)</f>
        <v/>
      </c>
    </row>
    <row r="1220">
      <c r="A1220" t="inlineStr">
        <is>
          <t>Claussen, Laurence</t>
        </is>
      </c>
      <c r="B1220" t="inlineStr">
        <is>
          <t>Madagascar</t>
        </is>
      </c>
      <c r="C1220" t="inlineStr">
        <is>
          <t>MAD01</t>
        </is>
      </c>
      <c r="D1220" t="n">
        <v>0.5</v>
      </c>
      <c r="E1220" t="inlineStr">
        <is>
          <t>Comms Manager</t>
        </is>
      </c>
      <c r="F1220">
        <f>SUMIF($A$2:$A$1594,A1220,$D$2:$D$1594)</f>
        <v/>
      </c>
    </row>
    <row r="1221">
      <c r="A1221" t="inlineStr">
        <is>
          <t>Claussen, Laurence</t>
        </is>
      </c>
      <c r="B1221" t="inlineStr">
        <is>
          <t>Madagascar</t>
        </is>
      </c>
      <c r="C1221" t="inlineStr">
        <is>
          <t>MAD02</t>
        </is>
      </c>
      <c r="D1221" t="n">
        <v>0.5</v>
      </c>
      <c r="E1221" t="inlineStr">
        <is>
          <t>Comms Manager</t>
        </is>
      </c>
      <c r="F1221">
        <f>SUMIF($A$2:$A$1594,A1221,$D$2:$D$1594)</f>
        <v/>
      </c>
    </row>
    <row r="1222">
      <c r="A1222" t="inlineStr">
        <is>
          <t>Claussen, Laurence</t>
        </is>
      </c>
      <c r="B1222" t="inlineStr">
        <is>
          <t>Madagascar</t>
        </is>
      </c>
      <c r="C1222" t="inlineStr">
        <is>
          <t>MAD03</t>
        </is>
      </c>
      <c r="D1222" t="n">
        <v>0.5</v>
      </c>
      <c r="E1222" t="inlineStr">
        <is>
          <t>Comms Manager</t>
        </is>
      </c>
      <c r="F1222">
        <f>SUMIF($A$2:$A$1594,A1222,$D$2:$D$1594)</f>
        <v/>
      </c>
    </row>
    <row r="1223">
      <c r="A1223" t="inlineStr">
        <is>
          <t>Claussen, Laurence</t>
        </is>
      </c>
      <c r="B1223" t="inlineStr">
        <is>
          <t>Madagascar</t>
        </is>
      </c>
      <c r="C1223" t="inlineStr">
        <is>
          <t>MAD04</t>
        </is>
      </c>
      <c r="D1223" t="n">
        <v>0.5</v>
      </c>
      <c r="E1223" t="inlineStr">
        <is>
          <t>Comms Manager</t>
        </is>
      </c>
      <c r="F1223">
        <f>SUMIF($A$2:$A$1594,A1223,$D$2:$D$1594)</f>
        <v/>
      </c>
    </row>
    <row r="1224">
      <c r="A1224" t="inlineStr">
        <is>
          <t>Claussen, Laurence</t>
        </is>
      </c>
      <c r="B1224" t="inlineStr">
        <is>
          <t>Madagascar</t>
        </is>
      </c>
      <c r="C1224" t="inlineStr">
        <is>
          <t>MAD05</t>
        </is>
      </c>
      <c r="D1224" t="n">
        <v>0.5</v>
      </c>
      <c r="E1224" t="inlineStr">
        <is>
          <t>Comms Manager</t>
        </is>
      </c>
      <c r="F1224">
        <f>SUMIF($A$2:$A$1594,A1224,$D$2:$D$1594)</f>
        <v/>
      </c>
    </row>
    <row r="1225">
      <c r="A1225" t="inlineStr">
        <is>
          <t>Claussen, Laurence</t>
        </is>
      </c>
      <c r="B1225" t="inlineStr">
        <is>
          <t>Madagascar</t>
        </is>
      </c>
      <c r="C1225" t="inlineStr">
        <is>
          <t>MAD06</t>
        </is>
      </c>
      <c r="D1225" t="n">
        <v>0.5</v>
      </c>
      <c r="E1225" t="inlineStr">
        <is>
          <t>Comms Manager</t>
        </is>
      </c>
      <c r="F1225">
        <f>SUMIF($A$2:$A$1594,A1225,$D$2:$D$1594)</f>
        <v/>
      </c>
    </row>
    <row r="1226">
      <c r="A1226" t="inlineStr">
        <is>
          <t>Claussen, Laurence</t>
        </is>
      </c>
      <c r="B1226" t="inlineStr">
        <is>
          <t>Madagascar</t>
        </is>
      </c>
      <c r="C1226" t="inlineStr">
        <is>
          <t>MAD07</t>
        </is>
      </c>
      <c r="D1226" t="n">
        <v>0.5</v>
      </c>
      <c r="E1226" t="inlineStr">
        <is>
          <t>Comms Manager</t>
        </is>
      </c>
      <c r="F1226">
        <f>SUMIF($A$2:$A$1594,A1226,$D$2:$D$1594)</f>
        <v/>
      </c>
    </row>
    <row r="1227">
      <c r="A1227" t="inlineStr">
        <is>
          <t>Claussen, Laurence</t>
        </is>
      </c>
      <c r="B1227" t="inlineStr">
        <is>
          <t>Madagascar</t>
        </is>
      </c>
      <c r="C1227" t="inlineStr">
        <is>
          <t>MAD08</t>
        </is>
      </c>
      <c r="D1227" t="n">
        <v>0.5</v>
      </c>
      <c r="E1227" t="inlineStr">
        <is>
          <t>Comms Manager</t>
        </is>
      </c>
      <c r="F1227">
        <f>SUMIF($A$2:$A$1594,A1227,$D$2:$D$1594)</f>
        <v/>
      </c>
    </row>
    <row r="1228">
      <c r="A1228" t="inlineStr">
        <is>
          <t>Claussen, Laurence</t>
        </is>
      </c>
      <c r="B1228" t="inlineStr">
        <is>
          <t>Madagascar</t>
        </is>
      </c>
      <c r="C1228" t="inlineStr">
        <is>
          <t>MAD09</t>
        </is>
      </c>
      <c r="D1228" t="n">
        <v>0.5</v>
      </c>
      <c r="E1228" t="inlineStr">
        <is>
          <t>Comms Manager</t>
        </is>
      </c>
      <c r="F1228">
        <f>SUMIF($A$2:$A$1594,A1228,$D$2:$D$1594)</f>
        <v/>
      </c>
    </row>
    <row r="1229">
      <c r="A1229" t="inlineStr">
        <is>
          <t>Claussen, Laurence</t>
        </is>
      </c>
      <c r="B1229" t="inlineStr">
        <is>
          <t>Madagascar</t>
        </is>
      </c>
      <c r="C1229" t="inlineStr">
        <is>
          <t>MAD10</t>
        </is>
      </c>
      <c r="D1229" t="n">
        <v>0.5</v>
      </c>
      <c r="E1229" t="inlineStr">
        <is>
          <t>Comms Manager</t>
        </is>
      </c>
      <c r="F1229">
        <f>SUMIF($A$2:$A$1594,A1229,$D$2:$D$1594)</f>
        <v/>
      </c>
    </row>
    <row r="1230">
      <c r="A1230" t="inlineStr">
        <is>
          <t>Claussen, Laurence</t>
        </is>
      </c>
      <c r="B1230" t="inlineStr">
        <is>
          <t>Madagascar</t>
        </is>
      </c>
      <c r="C1230" t="inlineStr">
        <is>
          <t>MAD11</t>
        </is>
      </c>
      <c r="D1230" t="n">
        <v>1</v>
      </c>
      <c r="E1230" t="inlineStr">
        <is>
          <t>Comms Manager</t>
        </is>
      </c>
      <c r="F1230">
        <f>SUMIF($A$2:$A$1594,A1230,$D$2:$D$1594)</f>
        <v/>
      </c>
    </row>
    <row r="1231">
      <c r="A1231" t="inlineStr">
        <is>
          <t>Loehr, Caitlin</t>
        </is>
      </c>
      <c r="B1231" t="inlineStr">
        <is>
          <t>Madagascar</t>
        </is>
      </c>
      <c r="C1231" t="inlineStr">
        <is>
          <t>MAD01</t>
        </is>
      </c>
      <c r="D1231" t="n">
        <v>2</v>
      </c>
      <c r="E1231" t="inlineStr">
        <is>
          <t>Senior Tech Advisor - Digital</t>
        </is>
      </c>
      <c r="F1231">
        <f>SUMIF($A$2:$A$1594,A1231,$D$2:$D$1594)</f>
        <v/>
      </c>
    </row>
    <row r="1232">
      <c r="A1232" t="inlineStr">
        <is>
          <t>Loehr, Caitlin</t>
        </is>
      </c>
      <c r="B1232" t="inlineStr">
        <is>
          <t>Madagascar</t>
        </is>
      </c>
      <c r="C1232" t="inlineStr">
        <is>
          <t>MAD02</t>
        </is>
      </c>
      <c r="D1232" t="n">
        <v>2</v>
      </c>
      <c r="E1232" t="inlineStr">
        <is>
          <t>Senior Tech Advisor - Digital</t>
        </is>
      </c>
      <c r="F1232">
        <f>SUMIF($A$2:$A$1594,A1232,$D$2:$D$1594)</f>
        <v/>
      </c>
    </row>
    <row r="1233">
      <c r="A1233" t="inlineStr">
        <is>
          <t>Loehr, Caitlin</t>
        </is>
      </c>
      <c r="B1233" t="inlineStr">
        <is>
          <t>Madagascar</t>
        </is>
      </c>
      <c r="C1233" t="inlineStr">
        <is>
          <t>MAD03</t>
        </is>
      </c>
      <c r="D1233" t="n">
        <v>2</v>
      </c>
      <c r="E1233" t="inlineStr">
        <is>
          <t>Senior Tech Advisor - Digital</t>
        </is>
      </c>
      <c r="F1233">
        <f>SUMIF($A$2:$A$1594,A1233,$D$2:$D$1594)</f>
        <v/>
      </c>
    </row>
    <row r="1234">
      <c r="A1234" t="inlineStr">
        <is>
          <t>Loehr, Caitlin</t>
        </is>
      </c>
      <c r="B1234" t="inlineStr">
        <is>
          <t>Madagascar</t>
        </is>
      </c>
      <c r="C1234" t="inlineStr">
        <is>
          <t>MAD04</t>
        </is>
      </c>
      <c r="D1234" t="n">
        <v>2</v>
      </c>
      <c r="E1234" t="inlineStr">
        <is>
          <t>Senior Tech Advisor - Digital</t>
        </is>
      </c>
      <c r="F1234">
        <f>SUMIF($A$2:$A$1594,A1234,$D$2:$D$1594)</f>
        <v/>
      </c>
    </row>
    <row r="1235">
      <c r="A1235" t="inlineStr">
        <is>
          <t>Loehr, Caitlin</t>
        </is>
      </c>
      <c r="B1235" t="inlineStr">
        <is>
          <t>Madagascar</t>
        </is>
      </c>
      <c r="C1235" t="inlineStr">
        <is>
          <t>MAD05</t>
        </is>
      </c>
      <c r="D1235" t="n">
        <v>2</v>
      </c>
      <c r="E1235" t="inlineStr">
        <is>
          <t>Senior Tech Advisor - Digital</t>
        </is>
      </c>
      <c r="F1235">
        <f>SUMIF($A$2:$A$1594,A1235,$D$2:$D$1594)</f>
        <v/>
      </c>
    </row>
    <row r="1236">
      <c r="A1236" t="inlineStr">
        <is>
          <t>Loehr, Caitlin</t>
        </is>
      </c>
      <c r="B1236" t="inlineStr">
        <is>
          <t>Madagascar</t>
        </is>
      </c>
      <c r="C1236" t="inlineStr">
        <is>
          <t>MAD06</t>
        </is>
      </c>
      <c r="D1236" t="n">
        <v>2</v>
      </c>
      <c r="E1236" t="inlineStr">
        <is>
          <t>Senior Tech Advisor - Digital</t>
        </is>
      </c>
      <c r="F1236">
        <f>SUMIF($A$2:$A$1594,A1236,$D$2:$D$1594)</f>
        <v/>
      </c>
    </row>
    <row r="1237">
      <c r="A1237" t="inlineStr">
        <is>
          <t>Loehr, Caitlin</t>
        </is>
      </c>
      <c r="B1237" t="inlineStr">
        <is>
          <t>Madagascar</t>
        </is>
      </c>
      <c r="C1237" t="inlineStr">
        <is>
          <t>MAD07</t>
        </is>
      </c>
      <c r="D1237" t="n">
        <v>2</v>
      </c>
      <c r="E1237" t="inlineStr">
        <is>
          <t>Senior Tech Advisor - Digital</t>
        </is>
      </c>
      <c r="F1237">
        <f>SUMIF($A$2:$A$1594,A1237,$D$2:$D$1594)</f>
        <v/>
      </c>
    </row>
    <row r="1238">
      <c r="A1238" t="inlineStr">
        <is>
          <t>Loehr, Caitlin</t>
        </is>
      </c>
      <c r="B1238" t="inlineStr">
        <is>
          <t>Madagascar</t>
        </is>
      </c>
      <c r="C1238" t="inlineStr">
        <is>
          <t>MAD08</t>
        </is>
      </c>
      <c r="D1238" t="n">
        <v>2</v>
      </c>
      <c r="E1238" t="inlineStr">
        <is>
          <t>Senior Tech Advisor - Digital</t>
        </is>
      </c>
      <c r="F1238">
        <f>SUMIF($A$2:$A$1594,A1238,$D$2:$D$1594)</f>
        <v/>
      </c>
    </row>
    <row r="1239">
      <c r="A1239" t="inlineStr">
        <is>
          <t>Loehr, Caitlin</t>
        </is>
      </c>
      <c r="B1239" t="inlineStr">
        <is>
          <t>Madagascar</t>
        </is>
      </c>
      <c r="C1239" t="inlineStr">
        <is>
          <t>MAD09</t>
        </is>
      </c>
      <c r="D1239" t="n">
        <v>3</v>
      </c>
      <c r="E1239" t="inlineStr">
        <is>
          <t>Senior Tech Advisor - Digital</t>
        </is>
      </c>
      <c r="F1239">
        <f>SUMIF($A$2:$A$1594,A1239,$D$2:$D$1594)</f>
        <v/>
      </c>
    </row>
    <row r="1240">
      <c r="A1240" t="inlineStr">
        <is>
          <t>Loehr, Caitlin</t>
        </is>
      </c>
      <c r="B1240" t="inlineStr">
        <is>
          <t>Madagascar</t>
        </is>
      </c>
      <c r="C1240" t="inlineStr">
        <is>
          <t>MAD10</t>
        </is>
      </c>
      <c r="D1240" t="n">
        <v>3</v>
      </c>
      <c r="E1240" t="inlineStr">
        <is>
          <t>Senior Tech Advisor - Digital</t>
        </is>
      </c>
      <c r="F1240">
        <f>SUMIF($A$2:$A$1594,A1240,$D$2:$D$1594)</f>
        <v/>
      </c>
    </row>
    <row r="1241">
      <c r="A1241" t="inlineStr">
        <is>
          <t>Loehr, Caitlin</t>
        </is>
      </c>
      <c r="B1241" t="inlineStr">
        <is>
          <t>Madagascar</t>
        </is>
      </c>
      <c r="C1241" t="inlineStr">
        <is>
          <t>MAD11</t>
        </is>
      </c>
      <c r="D1241" t="n">
        <v>3</v>
      </c>
      <c r="E1241" t="inlineStr">
        <is>
          <t>Senior Tech Advisor - Digital</t>
        </is>
      </c>
      <c r="F1241">
        <f>SUMIF($A$2:$A$1594,A1241,$D$2:$D$1594)</f>
        <v/>
      </c>
    </row>
    <row r="1242">
      <c r="A1242" t="inlineStr">
        <is>
          <t>Mahoro, Virgile</t>
        </is>
      </c>
      <c r="B1242" t="inlineStr">
        <is>
          <t>Madagascar</t>
        </is>
      </c>
      <c r="C1242" t="inlineStr">
        <is>
          <t>MAD01</t>
        </is>
      </c>
      <c r="D1242" t="n">
        <v>8</v>
      </c>
      <c r="E1242" t="inlineStr">
        <is>
          <t>Associate Pool</t>
        </is>
      </c>
      <c r="F1242">
        <f>SUMIF($A$2:$A$1594,A1242,$D$2:$D$1594)</f>
        <v/>
      </c>
    </row>
    <row r="1243">
      <c r="A1243" t="inlineStr">
        <is>
          <t>Mahoro, Virgile</t>
        </is>
      </c>
      <c r="B1243" t="inlineStr">
        <is>
          <t>Madagascar</t>
        </is>
      </c>
      <c r="C1243" t="inlineStr">
        <is>
          <t>MAD02</t>
        </is>
      </c>
      <c r="D1243" t="n">
        <v>8</v>
      </c>
      <c r="E1243" t="inlineStr">
        <is>
          <t>Associate Pool</t>
        </is>
      </c>
      <c r="F1243">
        <f>SUMIF($A$2:$A$1594,A1243,$D$2:$D$1594)</f>
        <v/>
      </c>
    </row>
    <row r="1244">
      <c r="A1244" t="inlineStr">
        <is>
          <t>Mahoro, Virgile</t>
        </is>
      </c>
      <c r="B1244" t="inlineStr">
        <is>
          <t>Madagascar</t>
        </is>
      </c>
      <c r="C1244" t="inlineStr">
        <is>
          <t>MAD03</t>
        </is>
      </c>
      <c r="D1244" t="n">
        <v>8</v>
      </c>
      <c r="E1244" t="inlineStr">
        <is>
          <t>Associate Pool</t>
        </is>
      </c>
      <c r="F1244">
        <f>SUMIF($A$2:$A$1594,A1244,$D$2:$D$1594)</f>
        <v/>
      </c>
    </row>
    <row r="1245">
      <c r="A1245" t="inlineStr">
        <is>
          <t>Mahoro, Virgile</t>
        </is>
      </c>
      <c r="B1245" t="inlineStr">
        <is>
          <t>Madagascar</t>
        </is>
      </c>
      <c r="C1245" t="inlineStr">
        <is>
          <t>MAD04</t>
        </is>
      </c>
      <c r="D1245" t="n">
        <v>8</v>
      </c>
      <c r="E1245" t="inlineStr">
        <is>
          <t>Associate Pool</t>
        </is>
      </c>
      <c r="F1245">
        <f>SUMIF($A$2:$A$1594,A1245,$D$2:$D$1594)</f>
        <v/>
      </c>
    </row>
    <row r="1246">
      <c r="A1246" t="inlineStr">
        <is>
          <t>Mahoro, Virgile</t>
        </is>
      </c>
      <c r="B1246" t="inlineStr">
        <is>
          <t>Madagascar</t>
        </is>
      </c>
      <c r="C1246" t="inlineStr">
        <is>
          <t>MAD05</t>
        </is>
      </c>
      <c r="D1246" t="n">
        <v>8</v>
      </c>
      <c r="E1246" t="inlineStr">
        <is>
          <t>Associate Pool</t>
        </is>
      </c>
      <c r="F1246">
        <f>SUMIF($A$2:$A$1594,A1246,$D$2:$D$1594)</f>
        <v/>
      </c>
    </row>
    <row r="1247">
      <c r="A1247" t="inlineStr">
        <is>
          <t>Mahoro, Virgile</t>
        </is>
      </c>
      <c r="B1247" t="inlineStr">
        <is>
          <t>Madagascar</t>
        </is>
      </c>
      <c r="C1247" t="inlineStr">
        <is>
          <t>MAD06</t>
        </is>
      </c>
      <c r="D1247" t="n">
        <v>8</v>
      </c>
      <c r="E1247" t="inlineStr">
        <is>
          <t>Associate Pool</t>
        </is>
      </c>
      <c r="F1247">
        <f>SUMIF($A$2:$A$1594,A1247,$D$2:$D$1594)</f>
        <v/>
      </c>
    </row>
    <row r="1248">
      <c r="A1248" t="inlineStr">
        <is>
          <t>Mahoro, Virgile</t>
        </is>
      </c>
      <c r="B1248" t="inlineStr">
        <is>
          <t>Madagascar</t>
        </is>
      </c>
      <c r="C1248" t="inlineStr">
        <is>
          <t>MAD07</t>
        </is>
      </c>
      <c r="D1248" t="n">
        <v>8</v>
      </c>
      <c r="E1248" t="inlineStr">
        <is>
          <t>Associate Pool</t>
        </is>
      </c>
      <c r="F1248">
        <f>SUMIF($A$2:$A$1594,A1248,$D$2:$D$1594)</f>
        <v/>
      </c>
    </row>
    <row r="1249">
      <c r="A1249" t="inlineStr">
        <is>
          <t>Mahoro, Virgile</t>
        </is>
      </c>
      <c r="B1249" t="inlineStr">
        <is>
          <t>Madagascar</t>
        </is>
      </c>
      <c r="C1249" t="inlineStr">
        <is>
          <t>MAD08</t>
        </is>
      </c>
      <c r="D1249" t="n">
        <v>9</v>
      </c>
      <c r="E1249" t="inlineStr">
        <is>
          <t>Associate Pool</t>
        </is>
      </c>
      <c r="F1249">
        <f>SUMIF($A$2:$A$1594,A1249,$D$2:$D$1594)</f>
        <v/>
      </c>
    </row>
    <row r="1250">
      <c r="A1250" t="inlineStr">
        <is>
          <t>Mahoro, Virgile</t>
        </is>
      </c>
      <c r="B1250" t="inlineStr">
        <is>
          <t>Madagascar</t>
        </is>
      </c>
      <c r="C1250" t="inlineStr">
        <is>
          <t>MAD09</t>
        </is>
      </c>
      <c r="D1250" t="n">
        <v>9</v>
      </c>
      <c r="E1250" t="inlineStr">
        <is>
          <t>Associate Pool</t>
        </is>
      </c>
      <c r="F1250">
        <f>SUMIF($A$2:$A$1594,A1250,$D$2:$D$1594)</f>
        <v/>
      </c>
    </row>
    <row r="1251">
      <c r="A1251" t="inlineStr">
        <is>
          <t>Mahoro, Virgile</t>
        </is>
      </c>
      <c r="B1251" t="inlineStr">
        <is>
          <t>Madagascar</t>
        </is>
      </c>
      <c r="C1251" t="inlineStr">
        <is>
          <t>MAD10</t>
        </is>
      </c>
      <c r="D1251" t="n">
        <v>9</v>
      </c>
      <c r="E1251" t="inlineStr">
        <is>
          <t>Associate Pool</t>
        </is>
      </c>
      <c r="F1251">
        <f>SUMIF($A$2:$A$1594,A1251,$D$2:$D$1594)</f>
        <v/>
      </c>
    </row>
    <row r="1252">
      <c r="A1252" t="inlineStr">
        <is>
          <t>Mahoro, Virgile</t>
        </is>
      </c>
      <c r="B1252" t="inlineStr">
        <is>
          <t>Madagascar</t>
        </is>
      </c>
      <c r="C1252" t="inlineStr">
        <is>
          <t>MAD11</t>
        </is>
      </c>
      <c r="D1252" t="n">
        <v>9</v>
      </c>
      <c r="E1252" t="inlineStr">
        <is>
          <t>Associate Pool</t>
        </is>
      </c>
      <c r="F1252">
        <f>SUMIF($A$2:$A$1594,A1252,$D$2:$D$1594)</f>
        <v/>
      </c>
    </row>
    <row r="1253">
      <c r="A1253" t="inlineStr">
        <is>
          <t>Mathias, John</t>
        </is>
      </c>
      <c r="B1253" t="inlineStr">
        <is>
          <t>Madagascar</t>
        </is>
      </c>
      <c r="C1253" t="inlineStr">
        <is>
          <t>MAD01</t>
        </is>
      </c>
      <c r="D1253" t="n">
        <v>0.5</v>
      </c>
      <c r="E1253" t="inlineStr">
        <is>
          <t>Operations Director</t>
        </is>
      </c>
      <c r="F1253">
        <f>SUMIF($A$2:$A$1594,A1253,$D$2:$D$1594)</f>
        <v/>
      </c>
    </row>
    <row r="1254">
      <c r="A1254" t="inlineStr">
        <is>
          <t>Mathias, John</t>
        </is>
      </c>
      <c r="B1254" t="inlineStr">
        <is>
          <t>Madagascar</t>
        </is>
      </c>
      <c r="C1254" t="inlineStr">
        <is>
          <t>MAD02</t>
        </is>
      </c>
      <c r="D1254" t="n">
        <v>0.5</v>
      </c>
      <c r="E1254" t="inlineStr">
        <is>
          <t>Operations Director</t>
        </is>
      </c>
      <c r="F1254">
        <f>SUMIF($A$2:$A$1594,A1254,$D$2:$D$1594)</f>
        <v/>
      </c>
    </row>
    <row r="1255">
      <c r="A1255" t="inlineStr">
        <is>
          <t>Mathias, John</t>
        </is>
      </c>
      <c r="B1255" t="inlineStr">
        <is>
          <t>Madagascar</t>
        </is>
      </c>
      <c r="C1255" t="inlineStr">
        <is>
          <t>MAD03</t>
        </is>
      </c>
      <c r="D1255" t="n">
        <v>0.5</v>
      </c>
      <c r="E1255" t="inlineStr">
        <is>
          <t>Operations Director</t>
        </is>
      </c>
      <c r="F1255">
        <f>SUMIF($A$2:$A$1594,A1255,$D$2:$D$1594)</f>
        <v/>
      </c>
    </row>
    <row r="1256">
      <c r="A1256" t="inlineStr">
        <is>
          <t>Mathias, John</t>
        </is>
      </c>
      <c r="B1256" t="inlineStr">
        <is>
          <t>Madagascar</t>
        </is>
      </c>
      <c r="C1256" t="inlineStr">
        <is>
          <t>MAD04</t>
        </is>
      </c>
      <c r="D1256" t="n">
        <v>0.5</v>
      </c>
      <c r="E1256" t="inlineStr">
        <is>
          <t>Operations Director</t>
        </is>
      </c>
      <c r="F1256">
        <f>SUMIF($A$2:$A$1594,A1256,$D$2:$D$1594)</f>
        <v/>
      </c>
    </row>
    <row r="1257">
      <c r="A1257" t="inlineStr">
        <is>
          <t>Mathias, John</t>
        </is>
      </c>
      <c r="B1257" t="inlineStr">
        <is>
          <t>Madagascar</t>
        </is>
      </c>
      <c r="C1257" t="inlineStr">
        <is>
          <t>MAD05</t>
        </is>
      </c>
      <c r="D1257" t="n">
        <v>0.5</v>
      </c>
      <c r="E1257" t="inlineStr">
        <is>
          <t>Operations Director</t>
        </is>
      </c>
      <c r="F1257">
        <f>SUMIF($A$2:$A$1594,A1257,$D$2:$D$1594)</f>
        <v/>
      </c>
    </row>
    <row r="1258">
      <c r="A1258" t="inlineStr">
        <is>
          <t>Mathias, John</t>
        </is>
      </c>
      <c r="B1258" t="inlineStr">
        <is>
          <t>Madagascar</t>
        </is>
      </c>
      <c r="C1258" t="inlineStr">
        <is>
          <t>MAD06</t>
        </is>
      </c>
      <c r="D1258" t="n">
        <v>0.5</v>
      </c>
      <c r="E1258" t="inlineStr">
        <is>
          <t>Operations Director</t>
        </is>
      </c>
      <c r="F1258">
        <f>SUMIF($A$2:$A$1594,A1258,$D$2:$D$1594)</f>
        <v/>
      </c>
    </row>
    <row r="1259">
      <c r="A1259" t="inlineStr">
        <is>
          <t>Mathias, John</t>
        </is>
      </c>
      <c r="B1259" t="inlineStr">
        <is>
          <t>Madagascar</t>
        </is>
      </c>
      <c r="C1259" t="inlineStr">
        <is>
          <t>MAD07</t>
        </is>
      </c>
      <c r="D1259" t="n">
        <v>0.5</v>
      </c>
      <c r="E1259" t="inlineStr">
        <is>
          <t>Operations Director</t>
        </is>
      </c>
      <c r="F1259">
        <f>SUMIF($A$2:$A$1594,A1259,$D$2:$D$1594)</f>
        <v/>
      </c>
    </row>
    <row r="1260">
      <c r="A1260" t="inlineStr">
        <is>
          <t>Mathias, John</t>
        </is>
      </c>
      <c r="B1260" t="inlineStr">
        <is>
          <t>Madagascar</t>
        </is>
      </c>
      <c r="C1260" t="inlineStr">
        <is>
          <t>MAD08</t>
        </is>
      </c>
      <c r="D1260" t="n">
        <v>0.5</v>
      </c>
      <c r="E1260" t="inlineStr">
        <is>
          <t>Operations Director</t>
        </is>
      </c>
      <c r="F1260">
        <f>SUMIF($A$2:$A$1594,A1260,$D$2:$D$1594)</f>
        <v/>
      </c>
    </row>
    <row r="1261">
      <c r="A1261" t="inlineStr">
        <is>
          <t>Mathias, John</t>
        </is>
      </c>
      <c r="B1261" t="inlineStr">
        <is>
          <t>Madagascar</t>
        </is>
      </c>
      <c r="C1261" t="inlineStr">
        <is>
          <t>MAD09</t>
        </is>
      </c>
      <c r="D1261" t="n">
        <v>0.5</v>
      </c>
      <c r="E1261" t="inlineStr">
        <is>
          <t>Operations Director</t>
        </is>
      </c>
      <c r="F1261">
        <f>SUMIF($A$2:$A$1594,A1261,$D$2:$D$1594)</f>
        <v/>
      </c>
    </row>
    <row r="1262">
      <c r="A1262" t="inlineStr">
        <is>
          <t>Mathias, John</t>
        </is>
      </c>
      <c r="B1262" t="inlineStr">
        <is>
          <t>Madagascar</t>
        </is>
      </c>
      <c r="C1262" t="inlineStr">
        <is>
          <t>MAD10</t>
        </is>
      </c>
      <c r="D1262" t="n">
        <v>0.5</v>
      </c>
      <c r="E1262" t="inlineStr">
        <is>
          <t>Operations Director</t>
        </is>
      </c>
      <c r="F1262">
        <f>SUMIF($A$2:$A$1594,A1262,$D$2:$D$1594)</f>
        <v/>
      </c>
    </row>
    <row r="1263">
      <c r="A1263" t="inlineStr">
        <is>
          <t>Mathias, John</t>
        </is>
      </c>
      <c r="B1263" t="inlineStr">
        <is>
          <t>Madagascar</t>
        </is>
      </c>
      <c r="C1263" t="inlineStr">
        <is>
          <t>MAD11</t>
        </is>
      </c>
      <c r="D1263" t="n">
        <v>1</v>
      </c>
      <c r="E1263" t="inlineStr">
        <is>
          <t>Operations Director</t>
        </is>
      </c>
      <c r="F1263">
        <f>SUMIF($A$2:$A$1594,A1263,$D$2:$D$1594)</f>
        <v/>
      </c>
    </row>
    <row r="1264">
      <c r="A1264" t="inlineStr">
        <is>
          <t>Misomali, Mark</t>
        </is>
      </c>
      <c r="B1264" t="inlineStr">
        <is>
          <t>Madagascar</t>
        </is>
      </c>
      <c r="C1264" t="inlineStr">
        <is>
          <t>MAD01</t>
        </is>
      </c>
      <c r="D1264" t="n">
        <v>0.5</v>
      </c>
      <c r="E1264" t="inlineStr">
        <is>
          <t xml:space="preserve">Operations Sr Finance Manager   </t>
        </is>
      </c>
      <c r="F1264">
        <f>SUMIF($A$2:$A$1594,A1264,$D$2:$D$1594)</f>
        <v/>
      </c>
    </row>
    <row r="1265">
      <c r="A1265" t="inlineStr">
        <is>
          <t>Misomali, Mark</t>
        </is>
      </c>
      <c r="B1265" t="inlineStr">
        <is>
          <t>Madagascar</t>
        </is>
      </c>
      <c r="C1265" t="inlineStr">
        <is>
          <t>MAD02</t>
        </is>
      </c>
      <c r="D1265" t="n">
        <v>0.5</v>
      </c>
      <c r="E1265" t="inlineStr">
        <is>
          <t xml:space="preserve">Operations Sr Finance Manager   </t>
        </is>
      </c>
      <c r="F1265">
        <f>SUMIF($A$2:$A$1594,A1265,$D$2:$D$1594)</f>
        <v/>
      </c>
    </row>
    <row r="1266">
      <c r="A1266" t="inlineStr">
        <is>
          <t>Misomali, Mark</t>
        </is>
      </c>
      <c r="B1266" t="inlineStr">
        <is>
          <t>Madagascar</t>
        </is>
      </c>
      <c r="C1266" t="inlineStr">
        <is>
          <t>MAD03</t>
        </is>
      </c>
      <c r="D1266" t="n">
        <v>0.5</v>
      </c>
      <c r="E1266" t="inlineStr">
        <is>
          <t xml:space="preserve">Operations Sr Finance Manager   </t>
        </is>
      </c>
      <c r="F1266">
        <f>SUMIF($A$2:$A$1594,A1266,$D$2:$D$1594)</f>
        <v/>
      </c>
    </row>
    <row r="1267">
      <c r="A1267" t="inlineStr">
        <is>
          <t>Misomali, Mark</t>
        </is>
      </c>
      <c r="B1267" t="inlineStr">
        <is>
          <t>Madagascar</t>
        </is>
      </c>
      <c r="C1267" t="inlineStr">
        <is>
          <t>MAD04</t>
        </is>
      </c>
      <c r="D1267" t="n">
        <v>0.5</v>
      </c>
      <c r="E1267" t="inlineStr">
        <is>
          <t xml:space="preserve">Operations Sr Finance Manager   </t>
        </is>
      </c>
      <c r="F1267">
        <f>SUMIF($A$2:$A$1594,A1267,$D$2:$D$1594)</f>
        <v/>
      </c>
    </row>
    <row r="1268">
      <c r="A1268" t="inlineStr">
        <is>
          <t>Misomali, Mark</t>
        </is>
      </c>
      <c r="B1268" t="inlineStr">
        <is>
          <t>Madagascar</t>
        </is>
      </c>
      <c r="C1268" t="inlineStr">
        <is>
          <t>MAD05</t>
        </is>
      </c>
      <c r="D1268" t="n">
        <v>0.5</v>
      </c>
      <c r="E1268" t="inlineStr">
        <is>
          <t xml:space="preserve">Operations Sr Finance Manager   </t>
        </is>
      </c>
      <c r="F1268">
        <f>SUMIF($A$2:$A$1594,A1268,$D$2:$D$1594)</f>
        <v/>
      </c>
    </row>
    <row r="1269">
      <c r="A1269" t="inlineStr">
        <is>
          <t>Misomali, Mark</t>
        </is>
      </c>
      <c r="B1269" t="inlineStr">
        <is>
          <t>Madagascar</t>
        </is>
      </c>
      <c r="C1269" t="inlineStr">
        <is>
          <t>MAD06</t>
        </is>
      </c>
      <c r="D1269" t="n">
        <v>0.5</v>
      </c>
      <c r="E1269" t="inlineStr">
        <is>
          <t xml:space="preserve">Operations Sr Finance Manager   </t>
        </is>
      </c>
      <c r="F1269">
        <f>SUMIF($A$2:$A$1594,A1269,$D$2:$D$1594)</f>
        <v/>
      </c>
    </row>
    <row r="1270">
      <c r="A1270" t="inlineStr">
        <is>
          <t>Misomali, Mark</t>
        </is>
      </c>
      <c r="B1270" t="inlineStr">
        <is>
          <t>Madagascar</t>
        </is>
      </c>
      <c r="C1270" t="inlineStr">
        <is>
          <t>MAD07</t>
        </is>
      </c>
      <c r="D1270" t="n">
        <v>0.5</v>
      </c>
      <c r="E1270" t="inlineStr">
        <is>
          <t xml:space="preserve">Operations Sr Finance Manager   </t>
        </is>
      </c>
      <c r="F1270">
        <f>SUMIF($A$2:$A$1594,A1270,$D$2:$D$1594)</f>
        <v/>
      </c>
    </row>
    <row r="1271">
      <c r="A1271" t="inlineStr">
        <is>
          <t>Misomali, Mark</t>
        </is>
      </c>
      <c r="B1271" t="inlineStr">
        <is>
          <t>Madagascar</t>
        </is>
      </c>
      <c r="C1271" t="inlineStr">
        <is>
          <t>MAD08</t>
        </is>
      </c>
      <c r="D1271" t="n">
        <v>0.5</v>
      </c>
      <c r="E1271" t="inlineStr">
        <is>
          <t xml:space="preserve">Operations Sr Finance Manager   </t>
        </is>
      </c>
      <c r="F1271">
        <f>SUMIF($A$2:$A$1594,A1271,$D$2:$D$1594)</f>
        <v/>
      </c>
    </row>
    <row r="1272">
      <c r="A1272" t="inlineStr">
        <is>
          <t>Misomali, Mark</t>
        </is>
      </c>
      <c r="B1272" t="inlineStr">
        <is>
          <t>Madagascar</t>
        </is>
      </c>
      <c r="C1272" t="inlineStr">
        <is>
          <t>MAD09</t>
        </is>
      </c>
      <c r="D1272" t="n">
        <v>0.5</v>
      </c>
      <c r="E1272" t="inlineStr">
        <is>
          <t xml:space="preserve">Operations Sr Finance Manager   </t>
        </is>
      </c>
      <c r="F1272">
        <f>SUMIF($A$2:$A$1594,A1272,$D$2:$D$1594)</f>
        <v/>
      </c>
    </row>
    <row r="1273">
      <c r="A1273" t="inlineStr">
        <is>
          <t>Misomali, Mark</t>
        </is>
      </c>
      <c r="B1273" t="inlineStr">
        <is>
          <t>Madagascar</t>
        </is>
      </c>
      <c r="C1273" t="inlineStr">
        <is>
          <t>MAD10</t>
        </is>
      </c>
      <c r="D1273" t="n">
        <v>0.5</v>
      </c>
      <c r="E1273" t="inlineStr">
        <is>
          <t xml:space="preserve">Operations Sr Finance Manager   </t>
        </is>
      </c>
      <c r="F1273">
        <f>SUMIF($A$2:$A$1594,A1273,$D$2:$D$1594)</f>
        <v/>
      </c>
    </row>
    <row r="1274">
      <c r="A1274" t="inlineStr">
        <is>
          <t>Misomali, Mark</t>
        </is>
      </c>
      <c r="B1274" t="inlineStr">
        <is>
          <t>Madagascar</t>
        </is>
      </c>
      <c r="C1274" t="inlineStr">
        <is>
          <t>MAD11</t>
        </is>
      </c>
      <c r="D1274" t="n">
        <v>1</v>
      </c>
      <c r="E1274" t="inlineStr">
        <is>
          <t xml:space="preserve">Operations Sr Finance Manager   </t>
        </is>
      </c>
      <c r="F1274">
        <f>SUMIF($A$2:$A$1594,A1274,$D$2:$D$1594)</f>
        <v/>
      </c>
    </row>
    <row r="1275">
      <c r="A1275" t="inlineStr">
        <is>
          <t>Noorzai, Mahmood</t>
        </is>
      </c>
      <c r="B1275" t="inlineStr">
        <is>
          <t>Madagascar</t>
        </is>
      </c>
      <c r="C1275" t="inlineStr">
        <is>
          <t>MAD01</t>
        </is>
      </c>
      <c r="D1275" t="n">
        <v>0.5</v>
      </c>
      <c r="E1275" t="inlineStr">
        <is>
          <t>Operations Finance Associate</t>
        </is>
      </c>
      <c r="F1275">
        <f>SUMIF($A$2:$A$1594,A1275,$D$2:$D$1594)</f>
        <v/>
      </c>
    </row>
    <row r="1276">
      <c r="A1276" t="inlineStr">
        <is>
          <t>Noorzai, Mahmood</t>
        </is>
      </c>
      <c r="B1276" t="inlineStr">
        <is>
          <t>Madagascar</t>
        </is>
      </c>
      <c r="C1276" t="inlineStr">
        <is>
          <t>MAD02</t>
        </is>
      </c>
      <c r="D1276" t="n">
        <v>0.5</v>
      </c>
      <c r="E1276" t="inlineStr">
        <is>
          <t>Operations Finance Associate</t>
        </is>
      </c>
      <c r="F1276">
        <f>SUMIF($A$2:$A$1594,A1276,$D$2:$D$1594)</f>
        <v/>
      </c>
    </row>
    <row r="1277">
      <c r="A1277" t="inlineStr">
        <is>
          <t>Noorzai, Mahmood</t>
        </is>
      </c>
      <c r="B1277" t="inlineStr">
        <is>
          <t>Madagascar</t>
        </is>
      </c>
      <c r="C1277" t="inlineStr">
        <is>
          <t>MAD03</t>
        </is>
      </c>
      <c r="D1277" t="n">
        <v>0.5</v>
      </c>
      <c r="E1277" t="inlineStr">
        <is>
          <t>Operations Finance Associate</t>
        </is>
      </c>
      <c r="F1277">
        <f>SUMIF($A$2:$A$1594,A1277,$D$2:$D$1594)</f>
        <v/>
      </c>
    </row>
    <row r="1278">
      <c r="A1278" t="inlineStr">
        <is>
          <t>Noorzai, Mahmood</t>
        </is>
      </c>
      <c r="B1278" t="inlineStr">
        <is>
          <t>Madagascar</t>
        </is>
      </c>
      <c r="C1278" t="inlineStr">
        <is>
          <t>MAD04</t>
        </is>
      </c>
      <c r="D1278" t="n">
        <v>0.5</v>
      </c>
      <c r="E1278" t="inlineStr">
        <is>
          <t>Operations Finance Associate</t>
        </is>
      </c>
      <c r="F1278">
        <f>SUMIF($A$2:$A$1594,A1278,$D$2:$D$1594)</f>
        <v/>
      </c>
    </row>
    <row r="1279">
      <c r="A1279" t="inlineStr">
        <is>
          <t>Noorzai, Mahmood</t>
        </is>
      </c>
      <c r="B1279" t="inlineStr">
        <is>
          <t>Madagascar</t>
        </is>
      </c>
      <c r="C1279" t="inlineStr">
        <is>
          <t>MAD05</t>
        </is>
      </c>
      <c r="D1279" t="n">
        <v>0.5</v>
      </c>
      <c r="E1279" t="inlineStr">
        <is>
          <t>Operations Finance Associate</t>
        </is>
      </c>
      <c r="F1279">
        <f>SUMIF($A$2:$A$1594,A1279,$D$2:$D$1594)</f>
        <v/>
      </c>
    </row>
    <row r="1280">
      <c r="A1280" t="inlineStr">
        <is>
          <t>Noorzai, Mahmood</t>
        </is>
      </c>
      <c r="B1280" t="inlineStr">
        <is>
          <t>Madagascar</t>
        </is>
      </c>
      <c r="C1280" t="inlineStr">
        <is>
          <t>MAD06</t>
        </is>
      </c>
      <c r="D1280" t="n">
        <v>0.5</v>
      </c>
      <c r="E1280" t="inlineStr">
        <is>
          <t>Operations Finance Associate</t>
        </is>
      </c>
      <c r="F1280">
        <f>SUMIF($A$2:$A$1594,A1280,$D$2:$D$1594)</f>
        <v/>
      </c>
    </row>
    <row r="1281">
      <c r="A1281" t="inlineStr">
        <is>
          <t>Noorzai, Mahmood</t>
        </is>
      </c>
      <c r="B1281" t="inlineStr">
        <is>
          <t>Madagascar</t>
        </is>
      </c>
      <c r="C1281" t="inlineStr">
        <is>
          <t>MAD07</t>
        </is>
      </c>
      <c r="D1281" t="n">
        <v>0.5</v>
      </c>
      <c r="E1281" t="inlineStr">
        <is>
          <t>Operations Finance Associate</t>
        </is>
      </c>
      <c r="F1281">
        <f>SUMIF($A$2:$A$1594,A1281,$D$2:$D$1594)</f>
        <v/>
      </c>
    </row>
    <row r="1282">
      <c r="A1282" t="inlineStr">
        <is>
          <t>Noorzai, Mahmood</t>
        </is>
      </c>
      <c r="B1282" t="inlineStr">
        <is>
          <t>Madagascar</t>
        </is>
      </c>
      <c r="C1282" t="inlineStr">
        <is>
          <t>MAD08</t>
        </is>
      </c>
      <c r="D1282" t="n">
        <v>0.5</v>
      </c>
      <c r="E1282" t="inlineStr">
        <is>
          <t>Operations Finance Associate</t>
        </is>
      </c>
      <c r="F1282">
        <f>SUMIF($A$2:$A$1594,A1282,$D$2:$D$1594)</f>
        <v/>
      </c>
    </row>
    <row r="1283">
      <c r="A1283" t="inlineStr">
        <is>
          <t>Noorzai, Mahmood</t>
        </is>
      </c>
      <c r="B1283" t="inlineStr">
        <is>
          <t>Madagascar</t>
        </is>
      </c>
      <c r="C1283" t="inlineStr">
        <is>
          <t>MAD09</t>
        </is>
      </c>
      <c r="D1283" t="n">
        <v>0.5</v>
      </c>
      <c r="E1283" t="inlineStr">
        <is>
          <t>Operations Finance Associate</t>
        </is>
      </c>
      <c r="F1283">
        <f>SUMIF($A$2:$A$1594,A1283,$D$2:$D$1594)</f>
        <v/>
      </c>
    </row>
    <row r="1284">
      <c r="A1284" t="inlineStr">
        <is>
          <t>Noorzai, Mahmood</t>
        </is>
      </c>
      <c r="B1284" t="inlineStr">
        <is>
          <t>Madagascar</t>
        </is>
      </c>
      <c r="C1284" t="inlineStr">
        <is>
          <t>MAD10</t>
        </is>
      </c>
      <c r="D1284" t="n">
        <v>0.5</v>
      </c>
      <c r="E1284" t="inlineStr">
        <is>
          <t>Operations Finance Associate</t>
        </is>
      </c>
      <c r="F1284">
        <f>SUMIF($A$2:$A$1594,A1284,$D$2:$D$1594)</f>
        <v/>
      </c>
    </row>
    <row r="1285">
      <c r="A1285" t="inlineStr">
        <is>
          <t>Noorzai, Mahmood</t>
        </is>
      </c>
      <c r="B1285" t="inlineStr">
        <is>
          <t>Madagascar</t>
        </is>
      </c>
      <c r="C1285" t="inlineStr">
        <is>
          <t>MAD11</t>
        </is>
      </c>
      <c r="D1285" t="n">
        <v>1</v>
      </c>
      <c r="E1285" t="inlineStr">
        <is>
          <t>Operations Finance Associate</t>
        </is>
      </c>
      <c r="F1285">
        <f>SUMIF($A$2:$A$1594,A1285,$D$2:$D$1594)</f>
        <v/>
      </c>
    </row>
    <row r="1286">
      <c r="A1286" t="inlineStr">
        <is>
          <t>Mawandia, Shreshth</t>
        </is>
      </c>
      <c r="B1286" t="inlineStr">
        <is>
          <t>Moldova</t>
        </is>
      </c>
      <c r="C1286" t="inlineStr">
        <is>
          <t>MOL01</t>
        </is>
      </c>
      <c r="D1286" t="n">
        <v>0.5</v>
      </c>
      <c r="E1286" t="inlineStr">
        <is>
          <t>KP - Project Director</t>
        </is>
      </c>
      <c r="F1286">
        <f>SUMIF($A$2:$A$1594,A1286,$D$2:$D$1594)</f>
        <v/>
      </c>
    </row>
    <row r="1287">
      <c r="A1287" t="inlineStr">
        <is>
          <t>Mawandia, Shreshth</t>
        </is>
      </c>
      <c r="B1287" t="inlineStr">
        <is>
          <t>Moldova</t>
        </is>
      </c>
      <c r="C1287" t="inlineStr">
        <is>
          <t>MOL03</t>
        </is>
      </c>
      <c r="D1287" t="n">
        <v>0.5</v>
      </c>
      <c r="E1287" t="inlineStr">
        <is>
          <t>KP - Project Director</t>
        </is>
      </c>
      <c r="F1287">
        <f>SUMIF($A$2:$A$1594,A1287,$D$2:$D$1594)</f>
        <v/>
      </c>
    </row>
    <row r="1288">
      <c r="A1288" t="inlineStr">
        <is>
          <t>Nigussie, Netsanet</t>
        </is>
      </c>
      <c r="B1288" t="inlineStr">
        <is>
          <t>Moldova</t>
        </is>
      </c>
      <c r="C1288" t="inlineStr">
        <is>
          <t>MOL01</t>
        </is>
      </c>
      <c r="D1288" t="n">
        <v>0.5</v>
      </c>
      <c r="E1288" t="inlineStr">
        <is>
          <t>KP - Technical Director</t>
        </is>
      </c>
      <c r="F1288">
        <f>SUMIF($A$2:$A$1594,A1288,$D$2:$D$1594)</f>
        <v/>
      </c>
    </row>
    <row r="1289">
      <c r="A1289" t="inlineStr">
        <is>
          <t>Nigussie, Netsanet</t>
        </is>
      </c>
      <c r="B1289" t="inlineStr">
        <is>
          <t>Moldova</t>
        </is>
      </c>
      <c r="C1289" t="inlineStr">
        <is>
          <t>MOL03</t>
        </is>
      </c>
      <c r="D1289" t="n">
        <v>0.5</v>
      </c>
      <c r="E1289" t="inlineStr">
        <is>
          <t>KP - Technical Director</t>
        </is>
      </c>
      <c r="F1289">
        <f>SUMIF($A$2:$A$1594,A1289,$D$2:$D$1594)</f>
        <v/>
      </c>
    </row>
    <row r="1290">
      <c r="A1290" t="inlineStr">
        <is>
          <t>Mensah, Margaret</t>
        </is>
      </c>
      <c r="B1290" t="inlineStr">
        <is>
          <t>Moldova</t>
        </is>
      </c>
      <c r="C1290" t="inlineStr">
        <is>
          <t>MOL01</t>
        </is>
      </c>
      <c r="D1290" t="n">
        <v>0.5</v>
      </c>
      <c r="E1290" t="inlineStr">
        <is>
          <t>KP - Finance Director</t>
        </is>
      </c>
      <c r="F1290">
        <f>SUMIF($A$2:$A$1594,A1290,$D$2:$D$1594)</f>
        <v/>
      </c>
    </row>
    <row r="1291">
      <c r="A1291" t="inlineStr">
        <is>
          <t>Mensah, Margaret</t>
        </is>
      </c>
      <c r="B1291" t="inlineStr">
        <is>
          <t>Moldova</t>
        </is>
      </c>
      <c r="C1291" t="inlineStr">
        <is>
          <t>MOL03</t>
        </is>
      </c>
      <c r="D1291" t="n">
        <v>0.5</v>
      </c>
      <c r="E1291" t="inlineStr">
        <is>
          <t>KP - Finance Director</t>
        </is>
      </c>
      <c r="F1291">
        <f>SUMIF($A$2:$A$1594,A1291,$D$2:$D$1594)</f>
        <v/>
      </c>
    </row>
    <row r="1292">
      <c r="A1292" t="inlineStr">
        <is>
          <t>Showalter, Caitlin</t>
        </is>
      </c>
      <c r="B1292" t="inlineStr">
        <is>
          <t>Moldova</t>
        </is>
      </c>
      <c r="C1292" t="inlineStr">
        <is>
          <t>MOL03</t>
        </is>
      </c>
      <c r="D1292" t="n">
        <v>0.5</v>
      </c>
      <c r="E1292" t="inlineStr">
        <is>
          <t>M&amp;E and Learning</t>
        </is>
      </c>
      <c r="F1292">
        <f>SUMIF($A$2:$A$1594,A1292,$D$2:$D$1594)</f>
        <v/>
      </c>
    </row>
    <row r="1293">
      <c r="A1293" t="inlineStr">
        <is>
          <t>Claussen, Laurence</t>
        </is>
      </c>
      <c r="B1293" t="inlineStr">
        <is>
          <t>Moldova</t>
        </is>
      </c>
      <c r="C1293" t="inlineStr">
        <is>
          <t>MOL03</t>
        </is>
      </c>
      <c r="D1293" t="n">
        <v>0.5</v>
      </c>
      <c r="E1293" t="inlineStr">
        <is>
          <t>Comms Manager</t>
        </is>
      </c>
      <c r="F1293">
        <f>SUMIF($A$2:$A$1594,A1293,$D$2:$D$1594)</f>
        <v/>
      </c>
    </row>
    <row r="1294">
      <c r="A1294" t="inlineStr">
        <is>
          <t>Judice, Nicole</t>
        </is>
      </c>
      <c r="B1294" t="inlineStr">
        <is>
          <t>Moldova</t>
        </is>
      </c>
      <c r="C1294" t="inlineStr">
        <is>
          <t>MOL01</t>
        </is>
      </c>
      <c r="D1294" t="n">
        <v>6</v>
      </c>
      <c r="E1294" t="inlineStr">
        <is>
          <t xml:space="preserve">Director Pool </t>
        </is>
      </c>
      <c r="F1294">
        <f>SUMIF($A$2:$A$1594,A1294,$D$2:$D$1594)</f>
        <v/>
      </c>
    </row>
    <row r="1295">
      <c r="A1295" t="inlineStr">
        <is>
          <t>Judice, Nicole</t>
        </is>
      </c>
      <c r="B1295" t="inlineStr">
        <is>
          <t>Moldova</t>
        </is>
      </c>
      <c r="C1295" t="inlineStr">
        <is>
          <t>MOL02</t>
        </is>
      </c>
      <c r="D1295" t="n">
        <v>6</v>
      </c>
      <c r="E1295" t="inlineStr">
        <is>
          <t xml:space="preserve">Director Pool </t>
        </is>
      </c>
      <c r="F1295">
        <f>SUMIF($A$2:$A$1594,A1295,$D$2:$D$1594)</f>
        <v/>
      </c>
    </row>
    <row r="1296">
      <c r="A1296" t="inlineStr">
        <is>
          <t>Judice, Nicole</t>
        </is>
      </c>
      <c r="B1296" t="inlineStr">
        <is>
          <t>Moldova</t>
        </is>
      </c>
      <c r="C1296" t="inlineStr">
        <is>
          <t>MOL03</t>
        </is>
      </c>
      <c r="D1296" t="n">
        <v>6</v>
      </c>
      <c r="E1296" t="inlineStr">
        <is>
          <t xml:space="preserve">Director Pool </t>
        </is>
      </c>
      <c r="F1296">
        <f>SUMIF($A$2:$A$1594,A1296,$D$2:$D$1594)</f>
        <v/>
      </c>
    </row>
    <row r="1297">
      <c r="A1297" t="inlineStr">
        <is>
          <t>Judice, Nicole</t>
        </is>
      </c>
      <c r="B1297" t="inlineStr">
        <is>
          <t>Moldova</t>
        </is>
      </c>
      <c r="C1297" t="inlineStr">
        <is>
          <t>MOL04</t>
        </is>
      </c>
      <c r="D1297" t="n">
        <v>7</v>
      </c>
      <c r="E1297" t="inlineStr">
        <is>
          <t xml:space="preserve">Director Pool </t>
        </is>
      </c>
      <c r="F1297">
        <f>SUMIF($A$2:$A$1594,A1297,$D$2:$D$1594)</f>
        <v/>
      </c>
    </row>
    <row r="1298">
      <c r="A1298" t="inlineStr">
        <is>
          <t>Judice, Nicole</t>
        </is>
      </c>
      <c r="B1298" t="inlineStr">
        <is>
          <t>Moldova</t>
        </is>
      </c>
      <c r="C1298" t="inlineStr">
        <is>
          <t>MOL05</t>
        </is>
      </c>
      <c r="D1298" t="n">
        <v>7</v>
      </c>
      <c r="E1298" t="inlineStr">
        <is>
          <t xml:space="preserve">Director Pool </t>
        </is>
      </c>
      <c r="F1298">
        <f>SUMIF($A$2:$A$1594,A1298,$D$2:$D$1594)</f>
        <v/>
      </c>
    </row>
    <row r="1299">
      <c r="A1299" t="inlineStr">
        <is>
          <t>Mathias, John</t>
        </is>
      </c>
      <c r="B1299" t="inlineStr">
        <is>
          <t>Moldova</t>
        </is>
      </c>
      <c r="C1299" t="inlineStr">
        <is>
          <t>MOL01</t>
        </is>
      </c>
      <c r="D1299" t="n">
        <v>0.5</v>
      </c>
      <c r="E1299" t="inlineStr">
        <is>
          <t>Operations Director</t>
        </is>
      </c>
      <c r="F1299">
        <f>SUMIF($A$2:$A$1594,A1299,$D$2:$D$1594)</f>
        <v/>
      </c>
    </row>
    <row r="1300">
      <c r="A1300" t="inlineStr">
        <is>
          <t>Mathias, John</t>
        </is>
      </c>
      <c r="B1300" t="inlineStr">
        <is>
          <t>Moldova</t>
        </is>
      </c>
      <c r="C1300" t="inlineStr">
        <is>
          <t>MOL03</t>
        </is>
      </c>
      <c r="D1300" t="n">
        <v>0.5</v>
      </c>
      <c r="E1300" t="inlineStr">
        <is>
          <t>Operations Director</t>
        </is>
      </c>
      <c r="F1300">
        <f>SUMIF($A$2:$A$1594,A1300,$D$2:$D$1594)</f>
        <v/>
      </c>
    </row>
    <row r="1301">
      <c r="A1301" t="inlineStr">
        <is>
          <t>Misomali, Mark</t>
        </is>
      </c>
      <c r="B1301" t="inlineStr">
        <is>
          <t>Moldova</t>
        </is>
      </c>
      <c r="C1301" t="inlineStr">
        <is>
          <t>MOL01</t>
        </is>
      </c>
      <c r="D1301" t="n">
        <v>0.5</v>
      </c>
      <c r="E1301" t="inlineStr">
        <is>
          <t xml:space="preserve">Operations Sr Finance Manager   </t>
        </is>
      </c>
      <c r="F1301">
        <f>SUMIF($A$2:$A$1594,A1301,$D$2:$D$1594)</f>
        <v/>
      </c>
    </row>
    <row r="1302">
      <c r="A1302" t="inlineStr">
        <is>
          <t>Misomali, Mark</t>
        </is>
      </c>
      <c r="B1302" t="inlineStr">
        <is>
          <t>Moldova</t>
        </is>
      </c>
      <c r="C1302" t="inlineStr">
        <is>
          <t>MOL03</t>
        </is>
      </c>
      <c r="D1302" t="n">
        <v>0.5</v>
      </c>
      <c r="E1302" t="inlineStr">
        <is>
          <t xml:space="preserve">Operations Sr Finance Manager   </t>
        </is>
      </c>
      <c r="F1302">
        <f>SUMIF($A$2:$A$1594,A1302,$D$2:$D$1594)</f>
        <v/>
      </c>
    </row>
    <row r="1303">
      <c r="A1303" t="inlineStr">
        <is>
          <t>Noorzai, Mahmood</t>
        </is>
      </c>
      <c r="B1303" t="inlineStr">
        <is>
          <t>Moldova</t>
        </is>
      </c>
      <c r="C1303" t="inlineStr">
        <is>
          <t>MOL01</t>
        </is>
      </c>
      <c r="D1303" t="n">
        <v>0.5</v>
      </c>
      <c r="E1303" t="inlineStr">
        <is>
          <t>Operations Finance Associate</t>
        </is>
      </c>
      <c r="F1303">
        <f>SUMIF($A$2:$A$1594,A1303,$D$2:$D$1594)</f>
        <v/>
      </c>
    </row>
    <row r="1304">
      <c r="A1304" t="inlineStr">
        <is>
          <t>Noorzai, Mahmood</t>
        </is>
      </c>
      <c r="B1304" t="inlineStr">
        <is>
          <t>Moldova</t>
        </is>
      </c>
      <c r="C1304" t="inlineStr">
        <is>
          <t>MOL03</t>
        </is>
      </c>
      <c r="D1304" t="n">
        <v>0.5</v>
      </c>
      <c r="E1304" t="inlineStr">
        <is>
          <t>Operations Finance Associate</t>
        </is>
      </c>
      <c r="F1304">
        <f>SUMIF($A$2:$A$1594,A1304,$D$2:$D$1594)</f>
        <v/>
      </c>
    </row>
    <row r="1305">
      <c r="A1305" t="inlineStr">
        <is>
          <t>Mawandia, Shreshth</t>
        </is>
      </c>
      <c r="B1305" t="inlineStr">
        <is>
          <t>Namibia</t>
        </is>
      </c>
      <c r="C1305" t="inlineStr">
        <is>
          <t>NAM01</t>
        </is>
      </c>
      <c r="D1305" t="n">
        <v>2</v>
      </c>
      <c r="E1305" t="inlineStr">
        <is>
          <t>KP - Project Director</t>
        </is>
      </c>
      <c r="F1305">
        <f>SUMIF($A$2:$A$1594,A1305,$D$2:$D$1594)</f>
        <v/>
      </c>
    </row>
    <row r="1306">
      <c r="A1306" t="inlineStr">
        <is>
          <t>Mawandia, Shreshth</t>
        </is>
      </c>
      <c r="B1306" t="inlineStr">
        <is>
          <t>Namibia</t>
        </is>
      </c>
      <c r="C1306" t="inlineStr">
        <is>
          <t>NAM02</t>
        </is>
      </c>
      <c r="D1306" t="n">
        <v>1.5</v>
      </c>
      <c r="E1306" t="inlineStr">
        <is>
          <t>KP - Project Director</t>
        </is>
      </c>
      <c r="F1306">
        <f>SUMIF($A$2:$A$1594,A1306,$D$2:$D$1594)</f>
        <v/>
      </c>
    </row>
    <row r="1307">
      <c r="A1307" t="inlineStr">
        <is>
          <t>Mawandia, Shreshth</t>
        </is>
      </c>
      <c r="B1307" t="inlineStr">
        <is>
          <t>Namibia</t>
        </is>
      </c>
      <c r="C1307" t="inlineStr">
        <is>
          <t>NAM03</t>
        </is>
      </c>
      <c r="D1307" t="n">
        <v>0.5</v>
      </c>
      <c r="E1307" t="inlineStr">
        <is>
          <t>KP - Project Director</t>
        </is>
      </c>
      <c r="F1307">
        <f>SUMIF($A$2:$A$1594,A1307,$D$2:$D$1594)</f>
        <v/>
      </c>
    </row>
    <row r="1308">
      <c r="A1308" t="inlineStr">
        <is>
          <t>Mawandia, Shreshth</t>
        </is>
      </c>
      <c r="B1308" t="inlineStr">
        <is>
          <t>Namibia</t>
        </is>
      </c>
      <c r="C1308" t="inlineStr">
        <is>
          <t>NAM04</t>
        </is>
      </c>
      <c r="D1308" t="n">
        <v>0.5</v>
      </c>
      <c r="E1308" t="inlineStr">
        <is>
          <t>KP - Project Director</t>
        </is>
      </c>
      <c r="F1308">
        <f>SUMIF($A$2:$A$1594,A1308,$D$2:$D$1594)</f>
        <v/>
      </c>
    </row>
    <row r="1309">
      <c r="A1309" t="inlineStr">
        <is>
          <t>Mawandia, Shreshth</t>
        </is>
      </c>
      <c r="B1309" t="inlineStr">
        <is>
          <t>Namibia</t>
        </is>
      </c>
      <c r="C1309" t="inlineStr">
        <is>
          <t>NAM05</t>
        </is>
      </c>
      <c r="D1309" t="n">
        <v>1</v>
      </c>
      <c r="E1309" t="inlineStr">
        <is>
          <t>KP - Project Director</t>
        </is>
      </c>
      <c r="F1309">
        <f>SUMIF($A$2:$A$1594,A1309,$D$2:$D$1594)</f>
        <v/>
      </c>
    </row>
    <row r="1310">
      <c r="A1310" t="inlineStr">
        <is>
          <t>Mawandia, Shreshth</t>
        </is>
      </c>
      <c r="B1310" t="inlineStr">
        <is>
          <t>Namibia</t>
        </is>
      </c>
      <c r="C1310" t="inlineStr">
        <is>
          <t>NAM06</t>
        </is>
      </c>
      <c r="D1310" t="n">
        <v>1</v>
      </c>
      <c r="E1310" t="inlineStr">
        <is>
          <t>KP - Project Director</t>
        </is>
      </c>
      <c r="F1310">
        <f>SUMIF($A$2:$A$1594,A1310,$D$2:$D$1594)</f>
        <v/>
      </c>
    </row>
    <row r="1311">
      <c r="A1311" t="inlineStr">
        <is>
          <t>Mawandia, Shreshth</t>
        </is>
      </c>
      <c r="B1311" t="inlineStr">
        <is>
          <t>Namibia</t>
        </is>
      </c>
      <c r="C1311" t="inlineStr">
        <is>
          <t>NAM07</t>
        </is>
      </c>
      <c r="D1311" t="n">
        <v>2</v>
      </c>
      <c r="E1311" t="inlineStr">
        <is>
          <t>KP - Project Director</t>
        </is>
      </c>
      <c r="F1311">
        <f>SUMIF($A$2:$A$1594,A1311,$D$2:$D$1594)</f>
        <v/>
      </c>
    </row>
    <row r="1312">
      <c r="A1312" t="inlineStr">
        <is>
          <t>Mawandia, Shreshth</t>
        </is>
      </c>
      <c r="B1312" t="inlineStr">
        <is>
          <t>Namibia</t>
        </is>
      </c>
      <c r="C1312" t="inlineStr">
        <is>
          <t>NAM09</t>
        </is>
      </c>
      <c r="D1312" t="n">
        <v>1</v>
      </c>
      <c r="E1312" t="inlineStr">
        <is>
          <t>KP - Project Director</t>
        </is>
      </c>
      <c r="F1312">
        <f>SUMIF($A$2:$A$1594,A1312,$D$2:$D$1594)</f>
        <v/>
      </c>
    </row>
    <row r="1313">
      <c r="A1313" t="inlineStr">
        <is>
          <t>Mawandia, Shreshth</t>
        </is>
      </c>
      <c r="B1313" t="inlineStr">
        <is>
          <t>Namibia</t>
        </is>
      </c>
      <c r="C1313" t="inlineStr">
        <is>
          <t>NAM10</t>
        </is>
      </c>
      <c r="D1313" t="n">
        <v>0.5</v>
      </c>
      <c r="E1313" t="inlineStr">
        <is>
          <t>KP - Project Director</t>
        </is>
      </c>
      <c r="F1313">
        <f>SUMIF($A$2:$A$1594,A1313,$D$2:$D$1594)</f>
        <v/>
      </c>
    </row>
    <row r="1314">
      <c r="A1314" t="inlineStr">
        <is>
          <t>Nigussie, Netsanet</t>
        </is>
      </c>
      <c r="B1314" t="inlineStr">
        <is>
          <t>Namibia</t>
        </is>
      </c>
      <c r="C1314" t="inlineStr">
        <is>
          <t>NAM01</t>
        </is>
      </c>
      <c r="D1314" t="n">
        <v>2</v>
      </c>
      <c r="E1314" t="inlineStr">
        <is>
          <t>KP - Technical Director</t>
        </is>
      </c>
      <c r="F1314">
        <f>SUMIF($A$2:$A$1594,A1314,$D$2:$D$1594)</f>
        <v/>
      </c>
    </row>
    <row r="1315">
      <c r="A1315" t="inlineStr">
        <is>
          <t>Nigussie, Netsanet</t>
        </is>
      </c>
      <c r="B1315" t="inlineStr">
        <is>
          <t>Namibia</t>
        </is>
      </c>
      <c r="C1315" t="inlineStr">
        <is>
          <t>NAM03</t>
        </is>
      </c>
      <c r="D1315" t="n">
        <v>0.5</v>
      </c>
      <c r="E1315" t="inlineStr">
        <is>
          <t>KP - Technical Director</t>
        </is>
      </c>
      <c r="F1315">
        <f>SUMIF($A$2:$A$1594,A1315,$D$2:$D$1594)</f>
        <v/>
      </c>
    </row>
    <row r="1316">
      <c r="A1316" t="inlineStr">
        <is>
          <t>Nigussie, Netsanet</t>
        </is>
      </c>
      <c r="B1316" t="inlineStr">
        <is>
          <t>Namibia</t>
        </is>
      </c>
      <c r="C1316" t="inlineStr">
        <is>
          <t>NAM04</t>
        </is>
      </c>
      <c r="D1316" t="n">
        <v>0.5</v>
      </c>
      <c r="E1316" t="inlineStr">
        <is>
          <t>KP - Technical Director</t>
        </is>
      </c>
      <c r="F1316">
        <f>SUMIF($A$2:$A$1594,A1316,$D$2:$D$1594)</f>
        <v/>
      </c>
    </row>
    <row r="1317">
      <c r="A1317" t="inlineStr">
        <is>
          <t>Nigussie, Netsanet</t>
        </is>
      </c>
      <c r="B1317" t="inlineStr">
        <is>
          <t>Namibia</t>
        </is>
      </c>
      <c r="C1317" t="inlineStr">
        <is>
          <t>NAM05</t>
        </is>
      </c>
      <c r="D1317" t="n">
        <v>1</v>
      </c>
      <c r="E1317" t="inlineStr">
        <is>
          <t>KP - Technical Director</t>
        </is>
      </c>
      <c r="F1317">
        <f>SUMIF($A$2:$A$1594,A1317,$D$2:$D$1594)</f>
        <v/>
      </c>
    </row>
    <row r="1318">
      <c r="A1318" t="inlineStr">
        <is>
          <t>Nigussie, Netsanet</t>
        </is>
      </c>
      <c r="B1318" t="inlineStr">
        <is>
          <t>Namibia</t>
        </is>
      </c>
      <c r="C1318" t="inlineStr">
        <is>
          <t>NAM06</t>
        </is>
      </c>
      <c r="D1318" t="n">
        <v>1</v>
      </c>
      <c r="E1318" t="inlineStr">
        <is>
          <t>KP - Technical Director</t>
        </is>
      </c>
      <c r="F1318">
        <f>SUMIF($A$2:$A$1594,A1318,$D$2:$D$1594)</f>
        <v/>
      </c>
    </row>
    <row r="1319">
      <c r="A1319" t="inlineStr">
        <is>
          <t>Nigussie, Netsanet</t>
        </is>
      </c>
      <c r="B1319" t="inlineStr">
        <is>
          <t>Namibia</t>
        </is>
      </c>
      <c r="C1319" t="inlineStr">
        <is>
          <t>NAM07</t>
        </is>
      </c>
      <c r="D1319" t="n">
        <v>2</v>
      </c>
      <c r="E1319" t="inlineStr">
        <is>
          <t>KP - Technical Director</t>
        </is>
      </c>
      <c r="F1319">
        <f>SUMIF($A$2:$A$1594,A1319,$D$2:$D$1594)</f>
        <v/>
      </c>
    </row>
    <row r="1320">
      <c r="A1320" t="inlineStr">
        <is>
          <t>Nigussie, Netsanet</t>
        </is>
      </c>
      <c r="B1320" t="inlineStr">
        <is>
          <t>Namibia</t>
        </is>
      </c>
      <c r="C1320" t="inlineStr">
        <is>
          <t>NAM09</t>
        </is>
      </c>
      <c r="D1320" t="n">
        <v>1</v>
      </c>
      <c r="E1320" t="inlineStr">
        <is>
          <t>KP - Technical Director</t>
        </is>
      </c>
      <c r="F1320">
        <f>SUMIF($A$2:$A$1594,A1320,$D$2:$D$1594)</f>
        <v/>
      </c>
    </row>
    <row r="1321">
      <c r="A1321" t="inlineStr">
        <is>
          <t>Mensah, Margaret</t>
        </is>
      </c>
      <c r="B1321" t="inlineStr">
        <is>
          <t>Namibia</t>
        </is>
      </c>
      <c r="C1321" t="inlineStr">
        <is>
          <t>NAM01</t>
        </is>
      </c>
      <c r="D1321" t="n">
        <v>1</v>
      </c>
      <c r="E1321" t="inlineStr">
        <is>
          <t>KP - Finance Director</t>
        </is>
      </c>
      <c r="F1321">
        <f>SUMIF($A$2:$A$1594,A1321,$D$2:$D$1594)</f>
        <v/>
      </c>
    </row>
    <row r="1322">
      <c r="A1322" t="inlineStr">
        <is>
          <t>Mensah, Margaret</t>
        </is>
      </c>
      <c r="B1322" t="inlineStr">
        <is>
          <t>Namibia</t>
        </is>
      </c>
      <c r="C1322" t="inlineStr">
        <is>
          <t>NAM04</t>
        </is>
      </c>
      <c r="D1322" t="n">
        <v>0.5</v>
      </c>
      <c r="E1322" t="inlineStr">
        <is>
          <t>KP - Finance Director</t>
        </is>
      </c>
      <c r="F1322">
        <f>SUMIF($A$2:$A$1594,A1322,$D$2:$D$1594)</f>
        <v/>
      </c>
    </row>
    <row r="1323">
      <c r="A1323" t="inlineStr">
        <is>
          <t>Mensah, Margaret</t>
        </is>
      </c>
      <c r="B1323" t="inlineStr">
        <is>
          <t>Namibia</t>
        </is>
      </c>
      <c r="C1323" t="inlineStr">
        <is>
          <t>NAM06</t>
        </is>
      </c>
      <c r="D1323" t="n">
        <v>1</v>
      </c>
      <c r="E1323" t="inlineStr">
        <is>
          <t>KP - Finance Director</t>
        </is>
      </c>
      <c r="F1323">
        <f>SUMIF($A$2:$A$1594,A1323,$D$2:$D$1594)</f>
        <v/>
      </c>
    </row>
    <row r="1324">
      <c r="A1324" t="inlineStr">
        <is>
          <t>Mensah, Margaret</t>
        </is>
      </c>
      <c r="B1324" t="inlineStr">
        <is>
          <t>Namibia</t>
        </is>
      </c>
      <c r="C1324" t="inlineStr">
        <is>
          <t>NAM07</t>
        </is>
      </c>
      <c r="D1324" t="n">
        <v>5</v>
      </c>
      <c r="E1324" t="inlineStr">
        <is>
          <t>KP - Finance Director</t>
        </is>
      </c>
      <c r="F1324">
        <f>SUMIF($A$2:$A$1594,A1324,$D$2:$D$1594)</f>
        <v/>
      </c>
    </row>
    <row r="1325">
      <c r="A1325" t="inlineStr">
        <is>
          <t>Mensah, Margaret</t>
        </is>
      </c>
      <c r="B1325" t="inlineStr">
        <is>
          <t>Namibia</t>
        </is>
      </c>
      <c r="C1325" t="inlineStr">
        <is>
          <t>NAM08</t>
        </is>
      </c>
      <c r="D1325" t="n">
        <v>1.5</v>
      </c>
      <c r="E1325" t="inlineStr">
        <is>
          <t>KP - Finance Director</t>
        </is>
      </c>
      <c r="F1325">
        <f>SUMIF($A$2:$A$1594,A1325,$D$2:$D$1594)</f>
        <v/>
      </c>
    </row>
    <row r="1326">
      <c r="A1326" t="inlineStr">
        <is>
          <t>Friedman, Jonathan</t>
        </is>
      </c>
      <c r="B1326" t="inlineStr">
        <is>
          <t>Namibia</t>
        </is>
      </c>
      <c r="C1326" t="inlineStr">
        <is>
          <t>NAM03</t>
        </is>
      </c>
      <c r="D1326" t="n">
        <v>1.5</v>
      </c>
      <c r="E1326" t="inlineStr">
        <is>
          <t>AI/ML Lead</t>
        </is>
      </c>
      <c r="F1326">
        <f>SUMIF($A$2:$A$1594,A1326,$D$2:$D$1594)</f>
        <v/>
      </c>
    </row>
    <row r="1327">
      <c r="A1327" t="inlineStr">
        <is>
          <t>Friedman, Jonathan</t>
        </is>
      </c>
      <c r="B1327" t="inlineStr">
        <is>
          <t>Namibia</t>
        </is>
      </c>
      <c r="C1327" t="inlineStr">
        <is>
          <t>NAM04</t>
        </is>
      </c>
      <c r="D1327" t="n">
        <v>2.5</v>
      </c>
      <c r="E1327" t="inlineStr">
        <is>
          <t>AI/ML Lead</t>
        </is>
      </c>
      <c r="F1327">
        <f>SUMIF($A$2:$A$1594,A1327,$D$2:$D$1594)</f>
        <v/>
      </c>
    </row>
    <row r="1328">
      <c r="A1328" t="inlineStr">
        <is>
          <t>Friedman, Jonathan</t>
        </is>
      </c>
      <c r="B1328" t="inlineStr">
        <is>
          <t>Namibia</t>
        </is>
      </c>
      <c r="C1328" t="inlineStr">
        <is>
          <t>NAM05</t>
        </is>
      </c>
      <c r="D1328" t="n">
        <v>1</v>
      </c>
      <c r="E1328" t="inlineStr">
        <is>
          <t>AI/ML Lead</t>
        </is>
      </c>
      <c r="F1328">
        <f>SUMIF($A$2:$A$1594,A1328,$D$2:$D$1594)</f>
        <v/>
      </c>
    </row>
    <row r="1329">
      <c r="A1329" t="inlineStr">
        <is>
          <t>Friedman, Jonathan</t>
        </is>
      </c>
      <c r="B1329" t="inlineStr">
        <is>
          <t>Namibia</t>
        </is>
      </c>
      <c r="C1329" t="inlineStr">
        <is>
          <t>NAM06</t>
        </is>
      </c>
      <c r="D1329" t="n">
        <v>1</v>
      </c>
      <c r="E1329" t="inlineStr">
        <is>
          <t>AI/ML Lead</t>
        </is>
      </c>
      <c r="F1329">
        <f>SUMIF($A$2:$A$1594,A1329,$D$2:$D$1594)</f>
        <v/>
      </c>
    </row>
    <row r="1330">
      <c r="A1330" t="inlineStr">
        <is>
          <t>Friedman, Jonathan</t>
        </is>
      </c>
      <c r="B1330" t="inlineStr">
        <is>
          <t>Namibia</t>
        </is>
      </c>
      <c r="C1330" t="inlineStr">
        <is>
          <t>NAM08</t>
        </is>
      </c>
      <c r="D1330" t="n">
        <v>1</v>
      </c>
      <c r="E1330" t="inlineStr">
        <is>
          <t>AI/ML Lead</t>
        </is>
      </c>
      <c r="F1330">
        <f>SUMIF($A$2:$A$1594,A1330,$D$2:$D$1594)</f>
        <v/>
      </c>
    </row>
    <row r="1331">
      <c r="A1331" t="inlineStr">
        <is>
          <t>Friedman, Jonathan</t>
        </is>
      </c>
      <c r="B1331" t="inlineStr">
        <is>
          <t>Namibia</t>
        </is>
      </c>
      <c r="C1331" t="inlineStr">
        <is>
          <t>NAM09</t>
        </is>
      </c>
      <c r="D1331" t="n">
        <v>1</v>
      </c>
      <c r="E1331" t="inlineStr">
        <is>
          <t>AI/ML Lead</t>
        </is>
      </c>
      <c r="F1331">
        <f>SUMIF($A$2:$A$1594,A1331,$D$2:$D$1594)</f>
        <v/>
      </c>
    </row>
    <row r="1332">
      <c r="A1332" t="inlineStr">
        <is>
          <t>Friedman, Jonathan</t>
        </is>
      </c>
      <c r="B1332" t="inlineStr">
        <is>
          <t>Namibia</t>
        </is>
      </c>
      <c r="C1332" t="inlineStr">
        <is>
          <t>NAM10</t>
        </is>
      </c>
      <c r="D1332" t="n">
        <v>1</v>
      </c>
      <c r="E1332" t="inlineStr">
        <is>
          <t>AI/ML Lead</t>
        </is>
      </c>
      <c r="F1332">
        <f>SUMIF($A$2:$A$1594,A1332,$D$2:$D$1594)</f>
        <v/>
      </c>
    </row>
    <row r="1333">
      <c r="A1333" t="inlineStr">
        <is>
          <t>Mavyuva, Boniface</t>
        </is>
      </c>
      <c r="B1333" t="inlineStr">
        <is>
          <t>Namibia</t>
        </is>
      </c>
      <c r="C1333" t="inlineStr">
        <is>
          <t>NAM03</t>
        </is>
      </c>
      <c r="D1333" t="n">
        <v>1</v>
      </c>
      <c r="E1333" t="inlineStr">
        <is>
          <t>Dig Infrastructure Lead</t>
        </is>
      </c>
      <c r="F1333">
        <f>SUMIF($A$2:$A$1594,A1333,$D$2:$D$1594)</f>
        <v/>
      </c>
    </row>
    <row r="1334">
      <c r="A1334" t="inlineStr">
        <is>
          <t>Mavyuva, Boniface</t>
        </is>
      </c>
      <c r="B1334" t="inlineStr">
        <is>
          <t>Namibia</t>
        </is>
      </c>
      <c r="C1334" t="inlineStr">
        <is>
          <t>NAM04</t>
        </is>
      </c>
      <c r="D1334" t="n">
        <v>0.5</v>
      </c>
      <c r="E1334" t="inlineStr">
        <is>
          <t>Dig Infrastructure Lead</t>
        </is>
      </c>
      <c r="F1334">
        <f>SUMIF($A$2:$A$1594,A1334,$D$2:$D$1594)</f>
        <v/>
      </c>
    </row>
    <row r="1335">
      <c r="A1335" t="inlineStr">
        <is>
          <t>Mavyuva, Boniface</t>
        </is>
      </c>
      <c r="B1335" t="inlineStr">
        <is>
          <t>Namibia</t>
        </is>
      </c>
      <c r="C1335" t="inlineStr">
        <is>
          <t>NAM05</t>
        </is>
      </c>
      <c r="D1335" t="n">
        <v>0.5</v>
      </c>
      <c r="E1335" t="inlineStr">
        <is>
          <t>Dig Infrastructure Lead</t>
        </is>
      </c>
      <c r="F1335">
        <f>SUMIF($A$2:$A$1594,A1335,$D$2:$D$1594)</f>
        <v/>
      </c>
    </row>
    <row r="1336">
      <c r="A1336" t="inlineStr">
        <is>
          <t>Mavyuva, Boniface</t>
        </is>
      </c>
      <c r="B1336" t="inlineStr">
        <is>
          <t>Namibia</t>
        </is>
      </c>
      <c r="C1336" t="inlineStr">
        <is>
          <t>NAM09</t>
        </is>
      </c>
      <c r="D1336" t="n">
        <v>0.5</v>
      </c>
      <c r="E1336" t="inlineStr">
        <is>
          <t>Dig Infrastructure Lead</t>
        </is>
      </c>
      <c r="F1336">
        <f>SUMIF($A$2:$A$1594,A1336,$D$2:$D$1594)</f>
        <v/>
      </c>
    </row>
    <row r="1337">
      <c r="A1337" t="inlineStr">
        <is>
          <t>Mavyuva, Boniface</t>
        </is>
      </c>
      <c r="B1337" t="inlineStr">
        <is>
          <t>Namibia</t>
        </is>
      </c>
      <c r="C1337" t="inlineStr">
        <is>
          <t>NAM10</t>
        </is>
      </c>
      <c r="D1337" t="n">
        <v>0.5</v>
      </c>
      <c r="E1337" t="inlineStr">
        <is>
          <t>Dig Infrastructure Lead</t>
        </is>
      </c>
      <c r="F1337">
        <f>SUMIF($A$2:$A$1594,A1337,$D$2:$D$1594)</f>
        <v/>
      </c>
    </row>
    <row r="1338">
      <c r="A1338" t="inlineStr">
        <is>
          <t>Showalter, Caitlin</t>
        </is>
      </c>
      <c r="B1338" t="inlineStr">
        <is>
          <t>Namibia</t>
        </is>
      </c>
      <c r="C1338" t="inlineStr">
        <is>
          <t>NAM02</t>
        </is>
      </c>
      <c r="D1338" t="n">
        <v>1</v>
      </c>
      <c r="E1338" t="inlineStr">
        <is>
          <t>M&amp;E and Learning</t>
        </is>
      </c>
      <c r="F1338">
        <f>SUMIF($A$2:$A$1594,A1338,$D$2:$D$1594)</f>
        <v/>
      </c>
    </row>
    <row r="1339">
      <c r="A1339" t="inlineStr">
        <is>
          <t>Showalter, Caitlin</t>
        </is>
      </c>
      <c r="B1339" t="inlineStr">
        <is>
          <t>Namibia</t>
        </is>
      </c>
      <c r="C1339" t="inlineStr">
        <is>
          <t>NAM03</t>
        </is>
      </c>
      <c r="D1339" t="n">
        <v>1.5</v>
      </c>
      <c r="E1339" t="inlineStr">
        <is>
          <t>M&amp;E and Learning</t>
        </is>
      </c>
      <c r="F1339">
        <f>SUMIF($A$2:$A$1594,A1339,$D$2:$D$1594)</f>
        <v/>
      </c>
    </row>
    <row r="1340">
      <c r="A1340" t="inlineStr">
        <is>
          <t>Showalter, Caitlin</t>
        </is>
      </c>
      <c r="B1340" t="inlineStr">
        <is>
          <t>Namibia</t>
        </is>
      </c>
      <c r="C1340" t="inlineStr">
        <is>
          <t>NAM04</t>
        </is>
      </c>
      <c r="D1340" t="n">
        <v>1.5</v>
      </c>
      <c r="E1340" t="inlineStr">
        <is>
          <t>M&amp;E and Learning</t>
        </is>
      </c>
      <c r="F1340">
        <f>SUMIF($A$2:$A$1594,A1340,$D$2:$D$1594)</f>
        <v/>
      </c>
    </row>
    <row r="1341">
      <c r="A1341" t="inlineStr">
        <is>
          <t>Showalter, Caitlin</t>
        </is>
      </c>
      <c r="B1341" t="inlineStr">
        <is>
          <t>Namibia</t>
        </is>
      </c>
      <c r="C1341" t="inlineStr">
        <is>
          <t>NAM05</t>
        </is>
      </c>
      <c r="D1341" t="n">
        <v>1</v>
      </c>
      <c r="E1341" t="inlineStr">
        <is>
          <t>M&amp;E and Learning</t>
        </is>
      </c>
      <c r="F1341">
        <f>SUMIF($A$2:$A$1594,A1341,$D$2:$D$1594)</f>
        <v/>
      </c>
    </row>
    <row r="1342">
      <c r="A1342" t="inlineStr">
        <is>
          <t>Showalter, Caitlin</t>
        </is>
      </c>
      <c r="B1342" t="inlineStr">
        <is>
          <t>Namibia</t>
        </is>
      </c>
      <c r="C1342" t="inlineStr">
        <is>
          <t>NAM06</t>
        </is>
      </c>
      <c r="D1342" t="n">
        <v>1</v>
      </c>
      <c r="E1342" t="inlineStr">
        <is>
          <t>M&amp;E and Learning</t>
        </is>
      </c>
      <c r="F1342">
        <f>SUMIF($A$2:$A$1594,A1342,$D$2:$D$1594)</f>
        <v/>
      </c>
    </row>
    <row r="1343">
      <c r="A1343" t="inlineStr">
        <is>
          <t>Showalter, Caitlin</t>
        </is>
      </c>
      <c r="B1343" t="inlineStr">
        <is>
          <t>Namibia</t>
        </is>
      </c>
      <c r="C1343" t="inlineStr">
        <is>
          <t>NAM08</t>
        </is>
      </c>
      <c r="D1343" t="n">
        <v>1</v>
      </c>
      <c r="E1343" t="inlineStr">
        <is>
          <t>M&amp;E and Learning</t>
        </is>
      </c>
      <c r="F1343">
        <f>SUMIF($A$2:$A$1594,A1343,$D$2:$D$1594)</f>
        <v/>
      </c>
    </row>
    <row r="1344">
      <c r="A1344" t="inlineStr">
        <is>
          <t>Showalter, Caitlin</t>
        </is>
      </c>
      <c r="B1344" t="inlineStr">
        <is>
          <t>Namibia</t>
        </is>
      </c>
      <c r="C1344" t="inlineStr">
        <is>
          <t>NAM09</t>
        </is>
      </c>
      <c r="D1344" t="n">
        <v>1</v>
      </c>
      <c r="E1344" t="inlineStr">
        <is>
          <t>M&amp;E and Learning</t>
        </is>
      </c>
      <c r="F1344">
        <f>SUMIF($A$2:$A$1594,A1344,$D$2:$D$1594)</f>
        <v/>
      </c>
    </row>
    <row r="1345">
      <c r="A1345" t="inlineStr">
        <is>
          <t>Showalter, Caitlin</t>
        </is>
      </c>
      <c r="B1345" t="inlineStr">
        <is>
          <t>Namibia</t>
        </is>
      </c>
      <c r="C1345" t="inlineStr">
        <is>
          <t>NAM10</t>
        </is>
      </c>
      <c r="D1345" t="n">
        <v>1</v>
      </c>
      <c r="E1345" t="inlineStr">
        <is>
          <t>M&amp;E and Learning</t>
        </is>
      </c>
      <c r="F1345">
        <f>SUMIF($A$2:$A$1594,A1345,$D$2:$D$1594)</f>
        <v/>
      </c>
    </row>
    <row r="1346">
      <c r="A1346" t="inlineStr">
        <is>
          <t>Miranda Rondon de Ro, Ing</t>
        </is>
      </c>
      <c r="B1346" t="inlineStr">
        <is>
          <t>Namibia</t>
        </is>
      </c>
      <c r="C1346" t="inlineStr">
        <is>
          <t>NAM02</t>
        </is>
      </c>
      <c r="D1346" t="n">
        <v>1</v>
      </c>
      <c r="E1346" t="inlineStr">
        <is>
          <t>M&amp;E and Learning</t>
        </is>
      </c>
      <c r="F1346">
        <f>SUMIF($A$2:$A$1594,A1346,$D$2:$D$1594)</f>
        <v/>
      </c>
    </row>
    <row r="1347">
      <c r="A1347" t="inlineStr">
        <is>
          <t>Miranda Rondon de Ro, Ing</t>
        </is>
      </c>
      <c r="B1347" t="inlineStr">
        <is>
          <t>Namibia</t>
        </is>
      </c>
      <c r="C1347" t="inlineStr">
        <is>
          <t>NAM03</t>
        </is>
      </c>
      <c r="D1347" t="n">
        <v>1.5</v>
      </c>
      <c r="E1347" t="inlineStr">
        <is>
          <t>M&amp;E and Learning</t>
        </is>
      </c>
      <c r="F1347">
        <f>SUMIF($A$2:$A$1594,A1347,$D$2:$D$1594)</f>
        <v/>
      </c>
    </row>
    <row r="1348">
      <c r="A1348" t="inlineStr">
        <is>
          <t>Miranda Rondon de Ro, Ing</t>
        </is>
      </c>
      <c r="B1348" t="inlineStr">
        <is>
          <t>Namibia</t>
        </is>
      </c>
      <c r="C1348" t="inlineStr">
        <is>
          <t>NAM04</t>
        </is>
      </c>
      <c r="D1348" t="n">
        <v>1.5</v>
      </c>
      <c r="E1348" t="inlineStr">
        <is>
          <t>M&amp;E and Learning</t>
        </is>
      </c>
      <c r="F1348">
        <f>SUMIF($A$2:$A$1594,A1348,$D$2:$D$1594)</f>
        <v/>
      </c>
    </row>
    <row r="1349">
      <c r="A1349" t="inlineStr">
        <is>
          <t>Miranda Rondon de Ro, Ing</t>
        </is>
      </c>
      <c r="B1349" t="inlineStr">
        <is>
          <t>Namibia</t>
        </is>
      </c>
      <c r="C1349" t="inlineStr">
        <is>
          <t>NAM05</t>
        </is>
      </c>
      <c r="D1349" t="n">
        <v>1</v>
      </c>
      <c r="E1349" t="inlineStr">
        <is>
          <t>M&amp;E and Learning</t>
        </is>
      </c>
      <c r="F1349">
        <f>SUMIF($A$2:$A$1594,A1349,$D$2:$D$1594)</f>
        <v/>
      </c>
    </row>
    <row r="1350">
      <c r="A1350" t="inlineStr">
        <is>
          <t>Miranda Rondon de Ro, Ing</t>
        </is>
      </c>
      <c r="B1350" t="inlineStr">
        <is>
          <t>Namibia</t>
        </is>
      </c>
      <c r="C1350" t="inlineStr">
        <is>
          <t>NAM06</t>
        </is>
      </c>
      <c r="D1350" t="n">
        <v>1</v>
      </c>
      <c r="E1350" t="inlineStr">
        <is>
          <t>M&amp;E and Learning</t>
        </is>
      </c>
      <c r="F1350">
        <f>SUMIF($A$2:$A$1594,A1350,$D$2:$D$1594)</f>
        <v/>
      </c>
    </row>
    <row r="1351">
      <c r="A1351" t="inlineStr">
        <is>
          <t>Miranda Rondon de Ro, Ing</t>
        </is>
      </c>
      <c r="B1351" t="inlineStr">
        <is>
          <t>Namibia</t>
        </is>
      </c>
      <c r="C1351" t="inlineStr">
        <is>
          <t>NAM08</t>
        </is>
      </c>
      <c r="D1351" t="n">
        <v>1</v>
      </c>
      <c r="E1351" t="inlineStr">
        <is>
          <t>M&amp;E and Learning</t>
        </is>
      </c>
      <c r="F1351">
        <f>SUMIF($A$2:$A$1594,A1351,$D$2:$D$1594)</f>
        <v/>
      </c>
    </row>
    <row r="1352">
      <c r="A1352" t="inlineStr">
        <is>
          <t>Miranda Rondon de Ro, Ing</t>
        </is>
      </c>
      <c r="B1352" t="inlineStr">
        <is>
          <t>Namibia</t>
        </is>
      </c>
      <c r="C1352" t="inlineStr">
        <is>
          <t>NAM09</t>
        </is>
      </c>
      <c r="D1352" t="n">
        <v>1</v>
      </c>
      <c r="E1352" t="inlineStr">
        <is>
          <t>M&amp;E and Learning</t>
        </is>
      </c>
      <c r="F1352">
        <f>SUMIF($A$2:$A$1594,A1352,$D$2:$D$1594)</f>
        <v/>
      </c>
    </row>
    <row r="1353">
      <c r="A1353" t="inlineStr">
        <is>
          <t>Miranda Rondon de Ro, Ing</t>
        </is>
      </c>
      <c r="B1353" t="inlineStr">
        <is>
          <t>Namibia</t>
        </is>
      </c>
      <c r="C1353" t="inlineStr">
        <is>
          <t>NAM10</t>
        </is>
      </c>
      <c r="D1353" t="n">
        <v>1</v>
      </c>
      <c r="E1353" t="inlineStr">
        <is>
          <t>M&amp;E and Learning</t>
        </is>
      </c>
      <c r="F1353">
        <f>SUMIF($A$2:$A$1594,A1353,$D$2:$D$1594)</f>
        <v/>
      </c>
    </row>
    <row r="1354">
      <c r="A1354" t="inlineStr">
        <is>
          <t>Sakaguchi, Kevin</t>
        </is>
      </c>
      <c r="B1354" t="inlineStr">
        <is>
          <t>Namibia</t>
        </is>
      </c>
      <c r="C1354" t="inlineStr">
        <is>
          <t>NAM02</t>
        </is>
      </c>
      <c r="D1354" t="n">
        <v>1</v>
      </c>
      <c r="E1354" t="inlineStr">
        <is>
          <t>M&amp;E and Learning</t>
        </is>
      </c>
      <c r="F1354">
        <f>SUMIF($A$2:$A$1594,A1354,$D$2:$D$1594)</f>
        <v/>
      </c>
    </row>
    <row r="1355">
      <c r="A1355" t="inlineStr">
        <is>
          <t>Sakaguchi, Kevin</t>
        </is>
      </c>
      <c r="B1355" t="inlineStr">
        <is>
          <t>Namibia</t>
        </is>
      </c>
      <c r="C1355" t="inlineStr">
        <is>
          <t>NAM03</t>
        </is>
      </c>
      <c r="D1355" t="n">
        <v>1.5</v>
      </c>
      <c r="E1355" t="inlineStr">
        <is>
          <t>M&amp;E and Learning</t>
        </is>
      </c>
      <c r="F1355">
        <f>SUMIF($A$2:$A$1594,A1355,$D$2:$D$1594)</f>
        <v/>
      </c>
    </row>
    <row r="1356">
      <c r="A1356" t="inlineStr">
        <is>
          <t>Sakaguchi, Kevin</t>
        </is>
      </c>
      <c r="B1356" t="inlineStr">
        <is>
          <t>Namibia</t>
        </is>
      </c>
      <c r="C1356" t="inlineStr">
        <is>
          <t>NAM04</t>
        </is>
      </c>
      <c r="D1356" t="n">
        <v>1.5</v>
      </c>
      <c r="E1356" t="inlineStr">
        <is>
          <t>M&amp;E and Learning</t>
        </is>
      </c>
      <c r="F1356">
        <f>SUMIF($A$2:$A$1594,A1356,$D$2:$D$1594)</f>
        <v/>
      </c>
    </row>
    <row r="1357">
      <c r="A1357" t="inlineStr">
        <is>
          <t>Sakaguchi, Kevin</t>
        </is>
      </c>
      <c r="B1357" t="inlineStr">
        <is>
          <t>Namibia</t>
        </is>
      </c>
      <c r="C1357" t="inlineStr">
        <is>
          <t>NAM05</t>
        </is>
      </c>
      <c r="D1357" t="n">
        <v>1</v>
      </c>
      <c r="E1357" t="inlineStr">
        <is>
          <t>M&amp;E and Learning</t>
        </is>
      </c>
      <c r="F1357">
        <f>SUMIF($A$2:$A$1594,A1357,$D$2:$D$1594)</f>
        <v/>
      </c>
    </row>
    <row r="1358">
      <c r="A1358" t="inlineStr">
        <is>
          <t>Sakaguchi, Kevin</t>
        </is>
      </c>
      <c r="B1358" t="inlineStr">
        <is>
          <t>Namibia</t>
        </is>
      </c>
      <c r="C1358" t="inlineStr">
        <is>
          <t>NAM06</t>
        </is>
      </c>
      <c r="D1358" t="n">
        <v>1</v>
      </c>
      <c r="E1358" t="inlineStr">
        <is>
          <t>M&amp;E and Learning</t>
        </is>
      </c>
      <c r="F1358">
        <f>SUMIF($A$2:$A$1594,A1358,$D$2:$D$1594)</f>
        <v/>
      </c>
    </row>
    <row r="1359">
      <c r="A1359" t="inlineStr">
        <is>
          <t>Sakaguchi, Kevin</t>
        </is>
      </c>
      <c r="B1359" t="inlineStr">
        <is>
          <t>Namibia</t>
        </is>
      </c>
      <c r="C1359" t="inlineStr">
        <is>
          <t>NAM08</t>
        </is>
      </c>
      <c r="D1359" t="n">
        <v>1</v>
      </c>
      <c r="E1359" t="inlineStr">
        <is>
          <t>M&amp;E and Learning</t>
        </is>
      </c>
      <c r="F1359">
        <f>SUMIF($A$2:$A$1594,A1359,$D$2:$D$1594)</f>
        <v/>
      </c>
    </row>
    <row r="1360">
      <c r="A1360" t="inlineStr">
        <is>
          <t>Sakaguchi, Kevin</t>
        </is>
      </c>
      <c r="B1360" t="inlineStr">
        <is>
          <t>Namibia</t>
        </is>
      </c>
      <c r="C1360" t="inlineStr">
        <is>
          <t>NAM09</t>
        </is>
      </c>
      <c r="D1360" t="n">
        <v>1</v>
      </c>
      <c r="E1360" t="inlineStr">
        <is>
          <t>M&amp;E and Learning</t>
        </is>
      </c>
      <c r="F1360">
        <f>SUMIF($A$2:$A$1594,A1360,$D$2:$D$1594)</f>
        <v/>
      </c>
    </row>
    <row r="1361">
      <c r="A1361" t="inlineStr">
        <is>
          <t>Sakaguchi, Kevin</t>
        </is>
      </c>
      <c r="B1361" t="inlineStr">
        <is>
          <t>Namibia</t>
        </is>
      </c>
      <c r="C1361" t="inlineStr">
        <is>
          <t>NAM10</t>
        </is>
      </c>
      <c r="D1361" t="n">
        <v>1</v>
      </c>
      <c r="E1361" t="inlineStr">
        <is>
          <t>M&amp;E and Learning</t>
        </is>
      </c>
      <c r="F1361">
        <f>SUMIF($A$2:$A$1594,A1361,$D$2:$D$1594)</f>
        <v/>
      </c>
    </row>
    <row r="1362">
      <c r="A1362" t="inlineStr">
        <is>
          <t>Claussen, Laurence</t>
        </is>
      </c>
      <c r="B1362" t="inlineStr">
        <is>
          <t>Namibia</t>
        </is>
      </c>
      <c r="C1362" t="inlineStr">
        <is>
          <t>NAM02</t>
        </is>
      </c>
      <c r="D1362" t="n">
        <v>1</v>
      </c>
      <c r="E1362" t="inlineStr">
        <is>
          <t>Comms Manager</t>
        </is>
      </c>
      <c r="F1362">
        <f>SUMIF($A$2:$A$1594,A1362,$D$2:$D$1594)</f>
        <v/>
      </c>
    </row>
    <row r="1363">
      <c r="A1363" t="inlineStr">
        <is>
          <t>Claussen, Laurence</t>
        </is>
      </c>
      <c r="B1363" t="inlineStr">
        <is>
          <t>Namibia</t>
        </is>
      </c>
      <c r="C1363" t="inlineStr">
        <is>
          <t>NAM03</t>
        </is>
      </c>
      <c r="D1363" t="n">
        <v>1.5</v>
      </c>
      <c r="E1363" t="inlineStr">
        <is>
          <t>Comms Manager</t>
        </is>
      </c>
      <c r="F1363">
        <f>SUMIF($A$2:$A$1594,A1363,$D$2:$D$1594)</f>
        <v/>
      </c>
    </row>
    <row r="1364">
      <c r="A1364" t="inlineStr">
        <is>
          <t>Claussen, Laurence</t>
        </is>
      </c>
      <c r="B1364" t="inlineStr">
        <is>
          <t>Namibia</t>
        </is>
      </c>
      <c r="C1364" t="inlineStr">
        <is>
          <t>NAM04</t>
        </is>
      </c>
      <c r="D1364" t="n">
        <v>1.5</v>
      </c>
      <c r="E1364" t="inlineStr">
        <is>
          <t>Comms Manager</t>
        </is>
      </c>
      <c r="F1364">
        <f>SUMIF($A$2:$A$1594,A1364,$D$2:$D$1594)</f>
        <v/>
      </c>
    </row>
    <row r="1365">
      <c r="A1365" t="inlineStr">
        <is>
          <t>Claussen, Laurence</t>
        </is>
      </c>
      <c r="B1365" t="inlineStr">
        <is>
          <t>Namibia</t>
        </is>
      </c>
      <c r="C1365" t="inlineStr">
        <is>
          <t>NAM05</t>
        </is>
      </c>
      <c r="D1365" t="n">
        <v>1</v>
      </c>
      <c r="E1365" t="inlineStr">
        <is>
          <t>Comms Manager</t>
        </is>
      </c>
      <c r="F1365">
        <f>SUMIF($A$2:$A$1594,A1365,$D$2:$D$1594)</f>
        <v/>
      </c>
    </row>
    <row r="1366">
      <c r="A1366" t="inlineStr">
        <is>
          <t>Claussen, Laurence</t>
        </is>
      </c>
      <c r="B1366" t="inlineStr">
        <is>
          <t>Namibia</t>
        </is>
      </c>
      <c r="C1366" t="inlineStr">
        <is>
          <t>NAM06</t>
        </is>
      </c>
      <c r="D1366" t="n">
        <v>1</v>
      </c>
      <c r="E1366" t="inlineStr">
        <is>
          <t>Comms Manager</t>
        </is>
      </c>
      <c r="F1366">
        <f>SUMIF($A$2:$A$1594,A1366,$D$2:$D$1594)</f>
        <v/>
      </c>
    </row>
    <row r="1367">
      <c r="A1367" t="inlineStr">
        <is>
          <t>Claussen, Laurence</t>
        </is>
      </c>
      <c r="B1367" t="inlineStr">
        <is>
          <t>Namibia</t>
        </is>
      </c>
      <c r="C1367" t="inlineStr">
        <is>
          <t>NAM08</t>
        </is>
      </c>
      <c r="D1367" t="n">
        <v>1</v>
      </c>
      <c r="E1367" t="inlineStr">
        <is>
          <t>Comms Manager</t>
        </is>
      </c>
      <c r="F1367">
        <f>SUMIF($A$2:$A$1594,A1367,$D$2:$D$1594)</f>
        <v/>
      </c>
    </row>
    <row r="1368">
      <c r="A1368" t="inlineStr">
        <is>
          <t>Claussen, Laurence</t>
        </is>
      </c>
      <c r="B1368" t="inlineStr">
        <is>
          <t>Namibia</t>
        </is>
      </c>
      <c r="C1368" t="inlineStr">
        <is>
          <t>NAM09</t>
        </is>
      </c>
      <c r="D1368" t="n">
        <v>1</v>
      </c>
      <c r="E1368" t="inlineStr">
        <is>
          <t>Comms Manager</t>
        </is>
      </c>
      <c r="F1368">
        <f>SUMIF($A$2:$A$1594,A1368,$D$2:$D$1594)</f>
        <v/>
      </c>
    </row>
    <row r="1369">
      <c r="A1369" t="inlineStr">
        <is>
          <t>Claussen, Laurence</t>
        </is>
      </c>
      <c r="B1369" t="inlineStr">
        <is>
          <t>Namibia</t>
        </is>
      </c>
      <c r="C1369" t="inlineStr">
        <is>
          <t>NAM10</t>
        </is>
      </c>
      <c r="D1369" t="n">
        <v>1</v>
      </c>
      <c r="E1369" t="inlineStr">
        <is>
          <t>Comms Manager</t>
        </is>
      </c>
      <c r="F1369">
        <f>SUMIF($A$2:$A$1594,A1369,$D$2:$D$1594)</f>
        <v/>
      </c>
    </row>
    <row r="1370">
      <c r="A1370" t="inlineStr">
        <is>
          <t>Manocher, Baktash</t>
        </is>
      </c>
      <c r="B1370" t="inlineStr">
        <is>
          <t>Namibia</t>
        </is>
      </c>
      <c r="C1370" t="inlineStr">
        <is>
          <t>NAM01</t>
        </is>
      </c>
      <c r="D1370" t="n">
        <v>12</v>
      </c>
      <c r="E1370" t="inlineStr">
        <is>
          <t>Associate Pool</t>
        </is>
      </c>
      <c r="F1370">
        <f>SUMIF($A$2:$A$1594,A1370,$D$2:$D$1594)</f>
        <v/>
      </c>
    </row>
    <row r="1371">
      <c r="A1371" t="inlineStr">
        <is>
          <t>Manocher, Baktash</t>
        </is>
      </c>
      <c r="B1371" t="inlineStr">
        <is>
          <t>Namibia</t>
        </is>
      </c>
      <c r="C1371" t="inlineStr">
        <is>
          <t>NAM02</t>
        </is>
      </c>
      <c r="D1371" t="n">
        <v>12</v>
      </c>
      <c r="E1371" t="inlineStr">
        <is>
          <t>Associate Pool</t>
        </is>
      </c>
      <c r="F1371">
        <f>SUMIF($A$2:$A$1594,A1371,$D$2:$D$1594)</f>
        <v/>
      </c>
    </row>
    <row r="1372">
      <c r="A1372" t="inlineStr">
        <is>
          <t>Manocher, Baktash</t>
        </is>
      </c>
      <c r="B1372" t="inlineStr">
        <is>
          <t>Namibia</t>
        </is>
      </c>
      <c r="C1372" t="inlineStr">
        <is>
          <t>NAM03</t>
        </is>
      </c>
      <c r="D1372" t="n">
        <v>13</v>
      </c>
      <c r="E1372" t="inlineStr">
        <is>
          <t>Associate Pool</t>
        </is>
      </c>
      <c r="F1372">
        <f>SUMIF($A$2:$A$1594,A1372,$D$2:$D$1594)</f>
        <v/>
      </c>
    </row>
    <row r="1373">
      <c r="A1373" t="inlineStr">
        <is>
          <t>Manocher, Baktash</t>
        </is>
      </c>
      <c r="B1373" t="inlineStr">
        <is>
          <t>Namibia</t>
        </is>
      </c>
      <c r="C1373" t="inlineStr">
        <is>
          <t>NAM04</t>
        </is>
      </c>
      <c r="D1373" t="n">
        <v>12</v>
      </c>
      <c r="E1373" t="inlineStr">
        <is>
          <t>Associate Pool</t>
        </is>
      </c>
      <c r="F1373">
        <f>SUMIF($A$2:$A$1594,A1373,$D$2:$D$1594)</f>
        <v/>
      </c>
    </row>
    <row r="1374">
      <c r="A1374" t="inlineStr">
        <is>
          <t>Manocher, Baktash</t>
        </is>
      </c>
      <c r="B1374" t="inlineStr">
        <is>
          <t>Namibia</t>
        </is>
      </c>
      <c r="C1374" t="inlineStr">
        <is>
          <t>NAM05</t>
        </is>
      </c>
      <c r="D1374" t="n">
        <v>12</v>
      </c>
      <c r="E1374" t="inlineStr">
        <is>
          <t>Associate Pool</t>
        </is>
      </c>
      <c r="F1374">
        <f>SUMIF($A$2:$A$1594,A1374,$D$2:$D$1594)</f>
        <v/>
      </c>
    </row>
    <row r="1375">
      <c r="A1375" t="inlineStr">
        <is>
          <t>Manocher, Baktash</t>
        </is>
      </c>
      <c r="B1375" t="inlineStr">
        <is>
          <t>Namibia</t>
        </is>
      </c>
      <c r="C1375" t="inlineStr">
        <is>
          <t>NAM06</t>
        </is>
      </c>
      <c r="D1375" t="n">
        <v>11</v>
      </c>
      <c r="E1375" t="inlineStr">
        <is>
          <t>Associate Pool</t>
        </is>
      </c>
      <c r="F1375">
        <f>SUMIF($A$2:$A$1594,A1375,$D$2:$D$1594)</f>
        <v/>
      </c>
    </row>
    <row r="1376">
      <c r="A1376" t="inlineStr">
        <is>
          <t>Manocher, Baktash</t>
        </is>
      </c>
      <c r="B1376" t="inlineStr">
        <is>
          <t>Namibia</t>
        </is>
      </c>
      <c r="C1376" t="inlineStr">
        <is>
          <t>NAM07</t>
        </is>
      </c>
      <c r="D1376" t="n">
        <v>12</v>
      </c>
      <c r="E1376" t="inlineStr">
        <is>
          <t>Associate Pool</t>
        </is>
      </c>
      <c r="F1376">
        <f>SUMIF($A$2:$A$1594,A1376,$D$2:$D$1594)</f>
        <v/>
      </c>
    </row>
    <row r="1377">
      <c r="A1377" t="inlineStr">
        <is>
          <t>Manocher, Baktash</t>
        </is>
      </c>
      <c r="B1377" t="inlineStr">
        <is>
          <t>Namibia</t>
        </is>
      </c>
      <c r="C1377" t="inlineStr">
        <is>
          <t>NAM08</t>
        </is>
      </c>
      <c r="D1377" t="n">
        <v>12</v>
      </c>
      <c r="E1377" t="inlineStr">
        <is>
          <t>Associate Pool</t>
        </is>
      </c>
      <c r="F1377">
        <f>SUMIF($A$2:$A$1594,A1377,$D$2:$D$1594)</f>
        <v/>
      </c>
    </row>
    <row r="1378">
      <c r="A1378" t="inlineStr">
        <is>
          <t>Manocher, Baktash</t>
        </is>
      </c>
      <c r="B1378" t="inlineStr">
        <is>
          <t>Namibia</t>
        </is>
      </c>
      <c r="C1378" t="inlineStr">
        <is>
          <t>NAM09</t>
        </is>
      </c>
      <c r="D1378" t="n">
        <v>12</v>
      </c>
      <c r="E1378" t="inlineStr">
        <is>
          <t>Associate Pool</t>
        </is>
      </c>
      <c r="F1378">
        <f>SUMIF($A$2:$A$1594,A1378,$D$2:$D$1594)</f>
        <v/>
      </c>
    </row>
    <row r="1379">
      <c r="A1379" t="inlineStr">
        <is>
          <t>Manocher, Baktash</t>
        </is>
      </c>
      <c r="B1379" t="inlineStr">
        <is>
          <t>Namibia</t>
        </is>
      </c>
      <c r="C1379" t="inlineStr">
        <is>
          <t>NAM10</t>
        </is>
      </c>
      <c r="D1379" t="n">
        <v>11</v>
      </c>
      <c r="E1379" t="inlineStr">
        <is>
          <t>Associate Pool</t>
        </is>
      </c>
      <c r="F1379">
        <f>SUMIF($A$2:$A$1594,A1379,$D$2:$D$1594)</f>
        <v/>
      </c>
    </row>
    <row r="1380">
      <c r="A1380" t="inlineStr">
        <is>
          <t>Mathias, John</t>
        </is>
      </c>
      <c r="B1380" t="inlineStr">
        <is>
          <t>Namibia</t>
        </is>
      </c>
      <c r="C1380" t="inlineStr">
        <is>
          <t>NAM01</t>
        </is>
      </c>
      <c r="D1380" t="n">
        <v>1</v>
      </c>
      <c r="E1380" t="inlineStr">
        <is>
          <t>Operations Director</t>
        </is>
      </c>
      <c r="F1380">
        <f>SUMIF($A$2:$A$1594,A1380,$D$2:$D$1594)</f>
        <v/>
      </c>
    </row>
    <row r="1381">
      <c r="A1381" t="inlineStr">
        <is>
          <t>Mathias, John</t>
        </is>
      </c>
      <c r="B1381" t="inlineStr">
        <is>
          <t>Namibia</t>
        </is>
      </c>
      <c r="C1381" t="inlineStr">
        <is>
          <t>NAM02</t>
        </is>
      </c>
      <c r="D1381" t="n">
        <v>1</v>
      </c>
      <c r="E1381" t="inlineStr">
        <is>
          <t>Operations Director</t>
        </is>
      </c>
      <c r="F1381">
        <f>SUMIF($A$2:$A$1594,A1381,$D$2:$D$1594)</f>
        <v/>
      </c>
    </row>
    <row r="1382">
      <c r="A1382" t="inlineStr">
        <is>
          <t>Mathias, John</t>
        </is>
      </c>
      <c r="B1382" t="inlineStr">
        <is>
          <t>Namibia</t>
        </is>
      </c>
      <c r="C1382" t="inlineStr">
        <is>
          <t>NAM03</t>
        </is>
      </c>
      <c r="D1382" t="n">
        <v>0.5</v>
      </c>
      <c r="E1382" t="inlineStr">
        <is>
          <t>Operations Director</t>
        </is>
      </c>
      <c r="F1382">
        <f>SUMIF($A$2:$A$1594,A1382,$D$2:$D$1594)</f>
        <v/>
      </c>
    </row>
    <row r="1383">
      <c r="A1383" t="inlineStr">
        <is>
          <t>Mathias, John</t>
        </is>
      </c>
      <c r="B1383" t="inlineStr">
        <is>
          <t>Namibia</t>
        </is>
      </c>
      <c r="C1383" t="inlineStr">
        <is>
          <t>NAM04</t>
        </is>
      </c>
      <c r="D1383" t="n">
        <v>0.5</v>
      </c>
      <c r="E1383" t="inlineStr">
        <is>
          <t>Operations Director</t>
        </is>
      </c>
      <c r="F1383">
        <f>SUMIF($A$2:$A$1594,A1383,$D$2:$D$1594)</f>
        <v/>
      </c>
    </row>
    <row r="1384">
      <c r="A1384" t="inlineStr">
        <is>
          <t>Mathias, John</t>
        </is>
      </c>
      <c r="B1384" t="inlineStr">
        <is>
          <t>Namibia</t>
        </is>
      </c>
      <c r="C1384" t="inlineStr">
        <is>
          <t>NAM05</t>
        </is>
      </c>
      <c r="D1384" t="n">
        <v>1</v>
      </c>
      <c r="E1384" t="inlineStr">
        <is>
          <t>Operations Director</t>
        </is>
      </c>
      <c r="F1384">
        <f>SUMIF($A$2:$A$1594,A1384,$D$2:$D$1594)</f>
        <v/>
      </c>
    </row>
    <row r="1385">
      <c r="A1385" t="inlineStr">
        <is>
          <t>Mathias, John</t>
        </is>
      </c>
      <c r="B1385" t="inlineStr">
        <is>
          <t>Namibia</t>
        </is>
      </c>
      <c r="C1385" t="inlineStr">
        <is>
          <t>NAM06</t>
        </is>
      </c>
      <c r="D1385" t="n">
        <v>1</v>
      </c>
      <c r="E1385" t="inlineStr">
        <is>
          <t>Operations Director</t>
        </is>
      </c>
      <c r="F1385">
        <f>SUMIF($A$2:$A$1594,A1385,$D$2:$D$1594)</f>
        <v/>
      </c>
    </row>
    <row r="1386">
      <c r="A1386" t="inlineStr">
        <is>
          <t>Mathias, John</t>
        </is>
      </c>
      <c r="B1386" t="inlineStr">
        <is>
          <t>Namibia</t>
        </is>
      </c>
      <c r="C1386" t="inlineStr">
        <is>
          <t>NAM07</t>
        </is>
      </c>
      <c r="D1386" t="n">
        <v>1</v>
      </c>
      <c r="E1386" t="inlineStr">
        <is>
          <t>Operations Director</t>
        </is>
      </c>
      <c r="F1386">
        <f>SUMIF($A$2:$A$1594,A1386,$D$2:$D$1594)</f>
        <v/>
      </c>
    </row>
    <row r="1387">
      <c r="A1387" t="inlineStr">
        <is>
          <t>Mathias, John</t>
        </is>
      </c>
      <c r="B1387" t="inlineStr">
        <is>
          <t>Namibia</t>
        </is>
      </c>
      <c r="C1387" t="inlineStr">
        <is>
          <t>NAM08</t>
        </is>
      </c>
      <c r="D1387" t="n">
        <v>1</v>
      </c>
      <c r="E1387" t="inlineStr">
        <is>
          <t>Operations Director</t>
        </is>
      </c>
      <c r="F1387">
        <f>SUMIF($A$2:$A$1594,A1387,$D$2:$D$1594)</f>
        <v/>
      </c>
    </row>
    <row r="1388">
      <c r="A1388" t="inlineStr">
        <is>
          <t>Mathias, John</t>
        </is>
      </c>
      <c r="B1388" t="inlineStr">
        <is>
          <t>Namibia</t>
        </is>
      </c>
      <c r="C1388" t="inlineStr">
        <is>
          <t>NAM09</t>
        </is>
      </c>
      <c r="D1388" t="n">
        <v>1</v>
      </c>
      <c r="E1388" t="inlineStr">
        <is>
          <t>Operations Director</t>
        </is>
      </c>
      <c r="F1388">
        <f>SUMIF($A$2:$A$1594,A1388,$D$2:$D$1594)</f>
        <v/>
      </c>
    </row>
    <row r="1389">
      <c r="A1389" t="inlineStr">
        <is>
          <t>Mathias, John</t>
        </is>
      </c>
      <c r="B1389" t="inlineStr">
        <is>
          <t>Namibia</t>
        </is>
      </c>
      <c r="C1389" t="inlineStr">
        <is>
          <t>NAM10</t>
        </is>
      </c>
      <c r="D1389" t="n">
        <v>1</v>
      </c>
      <c r="E1389" t="inlineStr">
        <is>
          <t>Operations Director</t>
        </is>
      </c>
      <c r="F1389">
        <f>SUMIF($A$2:$A$1594,A1389,$D$2:$D$1594)</f>
        <v/>
      </c>
    </row>
    <row r="1390">
      <c r="A1390" t="inlineStr">
        <is>
          <t>Misomali, Mark</t>
        </is>
      </c>
      <c r="B1390" t="inlineStr">
        <is>
          <t>Namibia</t>
        </is>
      </c>
      <c r="C1390" t="inlineStr">
        <is>
          <t>NAM01</t>
        </is>
      </c>
      <c r="D1390" t="n">
        <v>1</v>
      </c>
      <c r="E1390" t="inlineStr">
        <is>
          <t xml:space="preserve">Operations Sr Finance Manager   </t>
        </is>
      </c>
      <c r="F1390">
        <f>SUMIF($A$2:$A$1594,A1390,$D$2:$D$1594)</f>
        <v/>
      </c>
    </row>
    <row r="1391">
      <c r="A1391" t="inlineStr">
        <is>
          <t>Misomali, Mark</t>
        </is>
      </c>
      <c r="B1391" t="inlineStr">
        <is>
          <t>Namibia</t>
        </is>
      </c>
      <c r="C1391" t="inlineStr">
        <is>
          <t>NAM02</t>
        </is>
      </c>
      <c r="D1391" t="n">
        <v>1</v>
      </c>
      <c r="E1391" t="inlineStr">
        <is>
          <t xml:space="preserve">Operations Sr Finance Manager   </t>
        </is>
      </c>
      <c r="F1391">
        <f>SUMIF($A$2:$A$1594,A1391,$D$2:$D$1594)</f>
        <v/>
      </c>
    </row>
    <row r="1392">
      <c r="A1392" t="inlineStr">
        <is>
          <t>Misomali, Mark</t>
        </is>
      </c>
      <c r="B1392" t="inlineStr">
        <is>
          <t>Namibia</t>
        </is>
      </c>
      <c r="C1392" t="inlineStr">
        <is>
          <t>NAM03</t>
        </is>
      </c>
      <c r="D1392" t="n">
        <v>0.5</v>
      </c>
      <c r="E1392" t="inlineStr">
        <is>
          <t xml:space="preserve">Operations Sr Finance Manager   </t>
        </is>
      </c>
      <c r="F1392">
        <f>SUMIF($A$2:$A$1594,A1392,$D$2:$D$1594)</f>
        <v/>
      </c>
    </row>
    <row r="1393">
      <c r="A1393" t="inlineStr">
        <is>
          <t>Misomali, Mark</t>
        </is>
      </c>
      <c r="B1393" t="inlineStr">
        <is>
          <t>Namibia</t>
        </is>
      </c>
      <c r="C1393" t="inlineStr">
        <is>
          <t>NAM04</t>
        </is>
      </c>
      <c r="D1393" t="n">
        <v>0.5</v>
      </c>
      <c r="E1393" t="inlineStr">
        <is>
          <t xml:space="preserve">Operations Sr Finance Manager   </t>
        </is>
      </c>
      <c r="F1393">
        <f>SUMIF($A$2:$A$1594,A1393,$D$2:$D$1594)</f>
        <v/>
      </c>
    </row>
    <row r="1394">
      <c r="A1394" t="inlineStr">
        <is>
          <t>Misomali, Mark</t>
        </is>
      </c>
      <c r="B1394" t="inlineStr">
        <is>
          <t>Namibia</t>
        </is>
      </c>
      <c r="C1394" t="inlineStr">
        <is>
          <t>NAM05</t>
        </is>
      </c>
      <c r="D1394" t="n">
        <v>1</v>
      </c>
      <c r="E1394" t="inlineStr">
        <is>
          <t xml:space="preserve">Operations Sr Finance Manager   </t>
        </is>
      </c>
      <c r="F1394">
        <f>SUMIF($A$2:$A$1594,A1394,$D$2:$D$1594)</f>
        <v/>
      </c>
    </row>
    <row r="1395">
      <c r="A1395" t="inlineStr">
        <is>
          <t>Misomali, Mark</t>
        </is>
      </c>
      <c r="B1395" t="inlineStr">
        <is>
          <t>Namibia</t>
        </is>
      </c>
      <c r="C1395" t="inlineStr">
        <is>
          <t>NAM06</t>
        </is>
      </c>
      <c r="D1395" t="n">
        <v>1</v>
      </c>
      <c r="E1395" t="inlineStr">
        <is>
          <t xml:space="preserve">Operations Sr Finance Manager   </t>
        </is>
      </c>
      <c r="F1395">
        <f>SUMIF($A$2:$A$1594,A1395,$D$2:$D$1594)</f>
        <v/>
      </c>
    </row>
    <row r="1396">
      <c r="A1396" t="inlineStr">
        <is>
          <t>Misomali, Mark</t>
        </is>
      </c>
      <c r="B1396" t="inlineStr">
        <is>
          <t>Namibia</t>
        </is>
      </c>
      <c r="C1396" t="inlineStr">
        <is>
          <t>NAM07</t>
        </is>
      </c>
      <c r="D1396" t="n">
        <v>1</v>
      </c>
      <c r="E1396" t="inlineStr">
        <is>
          <t xml:space="preserve">Operations Sr Finance Manager   </t>
        </is>
      </c>
      <c r="F1396">
        <f>SUMIF($A$2:$A$1594,A1396,$D$2:$D$1594)</f>
        <v/>
      </c>
    </row>
    <row r="1397">
      <c r="A1397" t="inlineStr">
        <is>
          <t>Misomali, Mark</t>
        </is>
      </c>
      <c r="B1397" t="inlineStr">
        <is>
          <t>Namibia</t>
        </is>
      </c>
      <c r="C1397" t="inlineStr">
        <is>
          <t>NAM08</t>
        </is>
      </c>
      <c r="D1397" t="n">
        <v>1</v>
      </c>
      <c r="E1397" t="inlineStr">
        <is>
          <t xml:space="preserve">Operations Sr Finance Manager   </t>
        </is>
      </c>
      <c r="F1397">
        <f>SUMIF($A$2:$A$1594,A1397,$D$2:$D$1594)</f>
        <v/>
      </c>
    </row>
    <row r="1398">
      <c r="A1398" t="inlineStr">
        <is>
          <t>Misomali, Mark</t>
        </is>
      </c>
      <c r="B1398" t="inlineStr">
        <is>
          <t>Namibia</t>
        </is>
      </c>
      <c r="C1398" t="inlineStr">
        <is>
          <t>NAM09</t>
        </is>
      </c>
      <c r="D1398" t="n">
        <v>1</v>
      </c>
      <c r="E1398" t="inlineStr">
        <is>
          <t xml:space="preserve">Operations Sr Finance Manager   </t>
        </is>
      </c>
      <c r="F1398">
        <f>SUMIF($A$2:$A$1594,A1398,$D$2:$D$1594)</f>
        <v/>
      </c>
    </row>
    <row r="1399">
      <c r="A1399" t="inlineStr">
        <is>
          <t>Misomali, Mark</t>
        </is>
      </c>
      <c r="B1399" t="inlineStr">
        <is>
          <t>Namibia</t>
        </is>
      </c>
      <c r="C1399" t="inlineStr">
        <is>
          <t>NAM10</t>
        </is>
      </c>
      <c r="D1399" t="n">
        <v>1</v>
      </c>
      <c r="E1399" t="inlineStr">
        <is>
          <t xml:space="preserve">Operations Sr Finance Manager   </t>
        </is>
      </c>
      <c r="F1399">
        <f>SUMIF($A$2:$A$1594,A1399,$D$2:$D$1594)</f>
        <v/>
      </c>
    </row>
    <row r="1400">
      <c r="A1400" t="inlineStr">
        <is>
          <t>Noorzai, Mahmood</t>
        </is>
      </c>
      <c r="B1400" t="inlineStr">
        <is>
          <t>Namibia</t>
        </is>
      </c>
      <c r="C1400" t="inlineStr">
        <is>
          <t>NAM01</t>
        </is>
      </c>
      <c r="D1400" t="n">
        <v>1</v>
      </c>
      <c r="E1400" t="inlineStr">
        <is>
          <t>Operations Finance Associate</t>
        </is>
      </c>
      <c r="F1400">
        <f>SUMIF($A$2:$A$1594,A1400,$D$2:$D$1594)</f>
        <v/>
      </c>
    </row>
    <row r="1401">
      <c r="A1401" t="inlineStr">
        <is>
          <t>Noorzai, Mahmood</t>
        </is>
      </c>
      <c r="B1401" t="inlineStr">
        <is>
          <t>Namibia</t>
        </is>
      </c>
      <c r="C1401" t="inlineStr">
        <is>
          <t>NAM02</t>
        </is>
      </c>
      <c r="D1401" t="n">
        <v>1</v>
      </c>
      <c r="E1401" t="inlineStr">
        <is>
          <t>Operations Finance Associate</t>
        </is>
      </c>
      <c r="F1401">
        <f>SUMIF($A$2:$A$1594,A1401,$D$2:$D$1594)</f>
        <v/>
      </c>
    </row>
    <row r="1402">
      <c r="A1402" t="inlineStr">
        <is>
          <t>Noorzai, Mahmood</t>
        </is>
      </c>
      <c r="B1402" t="inlineStr">
        <is>
          <t>Namibia</t>
        </is>
      </c>
      <c r="C1402" t="inlineStr">
        <is>
          <t>NAM03</t>
        </is>
      </c>
      <c r="D1402" t="n">
        <v>0.5</v>
      </c>
      <c r="E1402" t="inlineStr">
        <is>
          <t>Operations Finance Associate</t>
        </is>
      </c>
      <c r="F1402">
        <f>SUMIF($A$2:$A$1594,A1402,$D$2:$D$1594)</f>
        <v/>
      </c>
    </row>
    <row r="1403">
      <c r="A1403" t="inlineStr">
        <is>
          <t>Noorzai, Mahmood</t>
        </is>
      </c>
      <c r="B1403" t="inlineStr">
        <is>
          <t>Namibia</t>
        </is>
      </c>
      <c r="C1403" t="inlineStr">
        <is>
          <t>NAM04</t>
        </is>
      </c>
      <c r="D1403" t="n">
        <v>0.5</v>
      </c>
      <c r="E1403" t="inlineStr">
        <is>
          <t>Operations Finance Associate</t>
        </is>
      </c>
      <c r="F1403">
        <f>SUMIF($A$2:$A$1594,A1403,$D$2:$D$1594)</f>
        <v/>
      </c>
    </row>
    <row r="1404">
      <c r="A1404" t="inlineStr">
        <is>
          <t>Noorzai, Mahmood</t>
        </is>
      </c>
      <c r="B1404" t="inlineStr">
        <is>
          <t>Namibia</t>
        </is>
      </c>
      <c r="C1404" t="inlineStr">
        <is>
          <t>NAM05</t>
        </is>
      </c>
      <c r="D1404" t="n">
        <v>1</v>
      </c>
      <c r="E1404" t="inlineStr">
        <is>
          <t>Operations Finance Associate</t>
        </is>
      </c>
      <c r="F1404">
        <f>SUMIF($A$2:$A$1594,A1404,$D$2:$D$1594)</f>
        <v/>
      </c>
    </row>
    <row r="1405">
      <c r="A1405" t="inlineStr">
        <is>
          <t>Noorzai, Mahmood</t>
        </is>
      </c>
      <c r="B1405" t="inlineStr">
        <is>
          <t>Namibia</t>
        </is>
      </c>
      <c r="C1405" t="inlineStr">
        <is>
          <t>NAM06</t>
        </is>
      </c>
      <c r="D1405" t="n">
        <v>1</v>
      </c>
      <c r="E1405" t="inlineStr">
        <is>
          <t>Operations Finance Associate</t>
        </is>
      </c>
      <c r="F1405">
        <f>SUMIF($A$2:$A$1594,A1405,$D$2:$D$1594)</f>
        <v/>
      </c>
    </row>
    <row r="1406">
      <c r="A1406" t="inlineStr">
        <is>
          <t>Noorzai, Mahmood</t>
        </is>
      </c>
      <c r="B1406" t="inlineStr">
        <is>
          <t>Namibia</t>
        </is>
      </c>
      <c r="C1406" t="inlineStr">
        <is>
          <t>NAM07</t>
        </is>
      </c>
      <c r="D1406" t="n">
        <v>1</v>
      </c>
      <c r="E1406" t="inlineStr">
        <is>
          <t>Operations Finance Associate</t>
        </is>
      </c>
      <c r="F1406">
        <f>SUMIF($A$2:$A$1594,A1406,$D$2:$D$1594)</f>
        <v/>
      </c>
    </row>
    <row r="1407">
      <c r="A1407" t="inlineStr">
        <is>
          <t>Noorzai, Mahmood</t>
        </is>
      </c>
      <c r="B1407" t="inlineStr">
        <is>
          <t>Namibia</t>
        </is>
      </c>
      <c r="C1407" t="inlineStr">
        <is>
          <t>NAM08</t>
        </is>
      </c>
      <c r="D1407" t="n">
        <v>1</v>
      </c>
      <c r="E1407" t="inlineStr">
        <is>
          <t>Operations Finance Associate</t>
        </is>
      </c>
      <c r="F1407">
        <f>SUMIF($A$2:$A$1594,A1407,$D$2:$D$1594)</f>
        <v/>
      </c>
    </row>
    <row r="1408">
      <c r="A1408" t="inlineStr">
        <is>
          <t>Noorzai, Mahmood</t>
        </is>
      </c>
      <c r="B1408" t="inlineStr">
        <is>
          <t>Namibia</t>
        </is>
      </c>
      <c r="C1408" t="inlineStr">
        <is>
          <t>NAM09</t>
        </is>
      </c>
      <c r="D1408" t="n">
        <v>1</v>
      </c>
      <c r="E1408" t="inlineStr">
        <is>
          <t>Operations Finance Associate</t>
        </is>
      </c>
      <c r="F1408">
        <f>SUMIF($A$2:$A$1594,A1408,$D$2:$D$1594)</f>
        <v/>
      </c>
    </row>
    <row r="1409">
      <c r="A1409" t="inlineStr">
        <is>
          <t>Noorzai, Mahmood</t>
        </is>
      </c>
      <c r="B1409" t="inlineStr">
        <is>
          <t>Namibia</t>
        </is>
      </c>
      <c r="C1409" t="inlineStr">
        <is>
          <t>NAM10</t>
        </is>
      </c>
      <c r="D1409" t="n">
        <v>1</v>
      </c>
      <c r="E1409" t="inlineStr">
        <is>
          <t>Operations Finance Associate</t>
        </is>
      </c>
      <c r="F1409">
        <f>SUMIF($A$2:$A$1594,A1409,$D$2:$D$1594)</f>
        <v/>
      </c>
    </row>
    <row r="1410">
      <c r="A1410" t="inlineStr">
        <is>
          <t>Miller, Brynn</t>
        </is>
      </c>
      <c r="B1410" t="inlineStr">
        <is>
          <t>Namibia</t>
        </is>
      </c>
      <c r="C1410" t="inlineStr">
        <is>
          <t>NAM01</t>
        </is>
      </c>
      <c r="D1410" t="n">
        <v>6</v>
      </c>
      <c r="E1410" t="inlineStr">
        <is>
          <t>Operations Manager level - 16</t>
        </is>
      </c>
      <c r="F1410">
        <f>SUMIF($A$2:$A$1594,A1410,$D$2:$D$1594)</f>
        <v/>
      </c>
    </row>
    <row r="1411">
      <c r="A1411" t="inlineStr">
        <is>
          <t>Miller, Brynn</t>
        </is>
      </c>
      <c r="B1411" t="inlineStr">
        <is>
          <t>Namibia</t>
        </is>
      </c>
      <c r="C1411" t="inlineStr">
        <is>
          <t>NAM02</t>
        </is>
      </c>
      <c r="D1411" t="n">
        <v>6</v>
      </c>
      <c r="E1411" t="inlineStr">
        <is>
          <t>Operations Manager level - 16</t>
        </is>
      </c>
      <c r="F1411">
        <f>SUMIF($A$2:$A$1594,A1411,$D$2:$D$1594)</f>
        <v/>
      </c>
    </row>
    <row r="1412">
      <c r="A1412" t="inlineStr">
        <is>
          <t>Miller, Brynn</t>
        </is>
      </c>
      <c r="B1412" t="inlineStr">
        <is>
          <t>Namibia</t>
        </is>
      </c>
      <c r="C1412" t="inlineStr">
        <is>
          <t>NAM03</t>
        </is>
      </c>
      <c r="D1412" t="n">
        <v>6</v>
      </c>
      <c r="E1412" t="inlineStr">
        <is>
          <t>Operations Manager level - 16</t>
        </is>
      </c>
      <c r="F1412">
        <f>SUMIF($A$2:$A$1594,A1412,$D$2:$D$1594)</f>
        <v/>
      </c>
    </row>
    <row r="1413">
      <c r="A1413" t="inlineStr">
        <is>
          <t>Miller, Brynn</t>
        </is>
      </c>
      <c r="B1413" t="inlineStr">
        <is>
          <t>Namibia</t>
        </is>
      </c>
      <c r="C1413" t="inlineStr">
        <is>
          <t>NAM04</t>
        </is>
      </c>
      <c r="D1413" t="n">
        <v>6</v>
      </c>
      <c r="E1413" t="inlineStr">
        <is>
          <t>Operations Manager level - 16</t>
        </is>
      </c>
      <c r="F1413">
        <f>SUMIF($A$2:$A$1594,A1413,$D$2:$D$1594)</f>
        <v/>
      </c>
    </row>
    <row r="1414">
      <c r="A1414" t="inlineStr">
        <is>
          <t>Miller, Brynn</t>
        </is>
      </c>
      <c r="B1414" t="inlineStr">
        <is>
          <t>Namibia</t>
        </is>
      </c>
      <c r="C1414" t="inlineStr">
        <is>
          <t>NAM05</t>
        </is>
      </c>
      <c r="D1414" t="n">
        <v>6</v>
      </c>
      <c r="E1414" t="inlineStr">
        <is>
          <t>Operations Manager level - 16</t>
        </is>
      </c>
      <c r="F1414">
        <f>SUMIF($A$2:$A$1594,A1414,$D$2:$D$1594)</f>
        <v/>
      </c>
    </row>
    <row r="1415">
      <c r="A1415" t="inlineStr">
        <is>
          <t>Miller, Brynn</t>
        </is>
      </c>
      <c r="B1415" t="inlineStr">
        <is>
          <t>Namibia</t>
        </is>
      </c>
      <c r="C1415" t="inlineStr">
        <is>
          <t>NAM06</t>
        </is>
      </c>
      <c r="D1415" t="n">
        <v>6</v>
      </c>
      <c r="E1415" t="inlineStr">
        <is>
          <t>Operations Manager level - 16</t>
        </is>
      </c>
      <c r="F1415">
        <f>SUMIF($A$2:$A$1594,A1415,$D$2:$D$1594)</f>
        <v/>
      </c>
    </row>
    <row r="1416">
      <c r="A1416" t="inlineStr">
        <is>
          <t>Miller, Brynn</t>
        </is>
      </c>
      <c r="B1416" t="inlineStr">
        <is>
          <t>Namibia</t>
        </is>
      </c>
      <c r="C1416" t="inlineStr">
        <is>
          <t>NAM07</t>
        </is>
      </c>
      <c r="D1416" t="n">
        <v>6</v>
      </c>
      <c r="E1416" t="inlineStr">
        <is>
          <t>Operations Manager level - 16</t>
        </is>
      </c>
      <c r="F1416">
        <f>SUMIF($A$2:$A$1594,A1416,$D$2:$D$1594)</f>
        <v/>
      </c>
    </row>
    <row r="1417">
      <c r="A1417" t="inlineStr">
        <is>
          <t>Miller, Brynn</t>
        </is>
      </c>
      <c r="B1417" t="inlineStr">
        <is>
          <t>Namibia</t>
        </is>
      </c>
      <c r="C1417" t="inlineStr">
        <is>
          <t>NAM08</t>
        </is>
      </c>
      <c r="D1417" t="n">
        <v>6</v>
      </c>
      <c r="E1417" t="inlineStr">
        <is>
          <t>Operations Manager level - 16</t>
        </is>
      </c>
      <c r="F1417">
        <f>SUMIF($A$2:$A$1594,A1417,$D$2:$D$1594)</f>
        <v/>
      </c>
    </row>
    <row r="1418">
      <c r="A1418" t="inlineStr">
        <is>
          <t>Miller, Brynn</t>
        </is>
      </c>
      <c r="B1418" t="inlineStr">
        <is>
          <t>Namibia</t>
        </is>
      </c>
      <c r="C1418" t="inlineStr">
        <is>
          <t>NAM09</t>
        </is>
      </c>
      <c r="D1418" t="n">
        <v>5</v>
      </c>
      <c r="E1418" t="inlineStr">
        <is>
          <t>Operations Manager level - 16</t>
        </is>
      </c>
      <c r="F1418">
        <f>SUMIF($A$2:$A$1594,A1418,$D$2:$D$1594)</f>
        <v/>
      </c>
    </row>
    <row r="1419">
      <c r="A1419" t="inlineStr">
        <is>
          <t>Miller, Brynn</t>
        </is>
      </c>
      <c r="B1419" t="inlineStr">
        <is>
          <t>Namibia</t>
        </is>
      </c>
      <c r="C1419" t="inlineStr">
        <is>
          <t>NAM10</t>
        </is>
      </c>
      <c r="D1419" t="n">
        <v>5</v>
      </c>
      <c r="E1419" t="inlineStr">
        <is>
          <t>Operations Manager level - 16</t>
        </is>
      </c>
      <c r="F1419">
        <f>SUMIF($A$2:$A$1594,A1419,$D$2:$D$1594)</f>
        <v/>
      </c>
    </row>
    <row r="1420">
      <c r="A1420" t="inlineStr">
        <is>
          <t>Friedman, Jonathan</t>
        </is>
      </c>
      <c r="B1420" t="inlineStr">
        <is>
          <t>Niger</t>
        </is>
      </c>
      <c r="C1420" t="inlineStr">
        <is>
          <t>NIG01</t>
        </is>
      </c>
      <c r="D1420" t="n">
        <v>0.24</v>
      </c>
      <c r="E1420" t="inlineStr">
        <is>
          <t>AI/ML Lead</t>
        </is>
      </c>
      <c r="F1420">
        <f>SUMIF($A$2:$A$1594,A1420,$D$2:$D$1594)</f>
        <v/>
      </c>
    </row>
    <row r="1421">
      <c r="A1421" t="inlineStr">
        <is>
          <t>Friedman, Jonathan</t>
        </is>
      </c>
      <c r="B1421" t="inlineStr">
        <is>
          <t>Niger</t>
        </is>
      </c>
      <c r="C1421" t="inlineStr">
        <is>
          <t>NIG02</t>
        </is>
      </c>
      <c r="D1421" t="n">
        <v>0.33</v>
      </c>
      <c r="E1421" t="inlineStr">
        <is>
          <t>AI/ML Lead</t>
        </is>
      </c>
      <c r="F1421">
        <f>SUMIF($A$2:$A$1594,A1421,$D$2:$D$1594)</f>
        <v/>
      </c>
    </row>
    <row r="1422">
      <c r="A1422" t="inlineStr">
        <is>
          <t>Friedman, Jonathan</t>
        </is>
      </c>
      <c r="B1422" t="inlineStr">
        <is>
          <t>Niger</t>
        </is>
      </c>
      <c r="C1422" t="inlineStr">
        <is>
          <t>NIG03</t>
        </is>
      </c>
      <c r="D1422" t="n">
        <v>0.23</v>
      </c>
      <c r="E1422" t="inlineStr">
        <is>
          <t>AI/ML Lead</t>
        </is>
      </c>
      <c r="F1422">
        <f>SUMIF($A$2:$A$1594,A1422,$D$2:$D$1594)</f>
        <v/>
      </c>
    </row>
    <row r="1423">
      <c r="A1423" t="inlineStr">
        <is>
          <t>Friedman, Jonathan</t>
        </is>
      </c>
      <c r="B1423" t="inlineStr">
        <is>
          <t>Niger</t>
        </is>
      </c>
      <c r="C1423" t="inlineStr">
        <is>
          <t>NIG04</t>
        </is>
      </c>
      <c r="D1423" t="n">
        <v>0.16</v>
      </c>
      <c r="E1423" t="inlineStr">
        <is>
          <t>AI/ML Lead</t>
        </is>
      </c>
      <c r="F1423">
        <f>SUMIF($A$2:$A$1594,A1423,$D$2:$D$1594)</f>
        <v/>
      </c>
    </row>
    <row r="1424">
      <c r="A1424" t="inlineStr">
        <is>
          <t>Friedman, Jonathan</t>
        </is>
      </c>
      <c r="B1424" t="inlineStr">
        <is>
          <t>Niger</t>
        </is>
      </c>
      <c r="C1424" t="inlineStr">
        <is>
          <t>NIG05</t>
        </is>
      </c>
      <c r="D1424" t="n">
        <v>0.44</v>
      </c>
      <c r="E1424" t="inlineStr">
        <is>
          <t>AI/ML Lead</t>
        </is>
      </c>
      <c r="F1424">
        <f>SUMIF($A$2:$A$1594,A1424,$D$2:$D$1594)</f>
        <v/>
      </c>
    </row>
    <row r="1425">
      <c r="A1425" t="inlineStr">
        <is>
          <t>Friedman, Jonathan</t>
        </is>
      </c>
      <c r="B1425" t="inlineStr">
        <is>
          <t>Niger</t>
        </is>
      </c>
      <c r="C1425" t="inlineStr">
        <is>
          <t>NIG06</t>
        </is>
      </c>
      <c r="D1425" t="n">
        <v>0.17</v>
      </c>
      <c r="E1425" t="inlineStr">
        <is>
          <t>AI/ML Lead</t>
        </is>
      </c>
      <c r="F1425">
        <f>SUMIF($A$2:$A$1594,A1425,$D$2:$D$1594)</f>
        <v/>
      </c>
    </row>
    <row r="1426">
      <c r="A1426" t="inlineStr">
        <is>
          <t>Friedman, Jonathan</t>
        </is>
      </c>
      <c r="B1426" t="inlineStr">
        <is>
          <t>Niger</t>
        </is>
      </c>
      <c r="C1426" t="inlineStr">
        <is>
          <t>NIG07</t>
        </is>
      </c>
      <c r="D1426" t="n">
        <v>0.4</v>
      </c>
      <c r="E1426" t="inlineStr">
        <is>
          <t>AI/ML Lead</t>
        </is>
      </c>
      <c r="F1426">
        <f>SUMIF($A$2:$A$1594,A1426,$D$2:$D$1594)</f>
        <v/>
      </c>
    </row>
    <row r="1427">
      <c r="A1427" t="inlineStr">
        <is>
          <t>Friedman, Jonathan</t>
        </is>
      </c>
      <c r="B1427" t="inlineStr">
        <is>
          <t>Niger</t>
        </is>
      </c>
      <c r="C1427" t="inlineStr">
        <is>
          <t>NIG08</t>
        </is>
      </c>
      <c r="D1427" t="n">
        <v>0.11</v>
      </c>
      <c r="E1427" t="inlineStr">
        <is>
          <t>AI/ML Lead</t>
        </is>
      </c>
      <c r="F1427">
        <f>SUMIF($A$2:$A$1594,A1427,$D$2:$D$1594)</f>
        <v/>
      </c>
    </row>
    <row r="1428">
      <c r="A1428" t="inlineStr">
        <is>
          <t>Friedman, Jonathan</t>
        </is>
      </c>
      <c r="B1428" t="inlineStr">
        <is>
          <t>Niger</t>
        </is>
      </c>
      <c r="C1428" t="inlineStr">
        <is>
          <t>NIG09</t>
        </is>
      </c>
      <c r="D1428" t="n">
        <v>0.7</v>
      </c>
      <c r="E1428" t="inlineStr">
        <is>
          <t>AI/ML Lead</t>
        </is>
      </c>
      <c r="F1428">
        <f>SUMIF($A$2:$A$1594,A1428,$D$2:$D$1594)</f>
        <v/>
      </c>
    </row>
    <row r="1429">
      <c r="A1429" t="inlineStr">
        <is>
          <t>Friedman, Jonathan</t>
        </is>
      </c>
      <c r="B1429" t="inlineStr">
        <is>
          <t>Niger</t>
        </is>
      </c>
      <c r="C1429" t="inlineStr">
        <is>
          <t>NIG10</t>
        </is>
      </c>
      <c r="D1429" t="n">
        <v>0.22</v>
      </c>
      <c r="E1429" t="inlineStr">
        <is>
          <t>AI/ML Lead</t>
        </is>
      </c>
      <c r="F1429">
        <f>SUMIF($A$2:$A$1594,A1429,$D$2:$D$1594)</f>
        <v/>
      </c>
    </row>
    <row r="1430">
      <c r="A1430" t="inlineStr">
        <is>
          <t>Mavyuva, Boniface</t>
        </is>
      </c>
      <c r="B1430" t="inlineStr">
        <is>
          <t>Niger</t>
        </is>
      </c>
      <c r="C1430" t="inlineStr">
        <is>
          <t>NIG01</t>
        </is>
      </c>
      <c r="D1430" t="n">
        <v>0.5</v>
      </c>
      <c r="E1430" t="inlineStr">
        <is>
          <t>Dig Infrastructure Lead</t>
        </is>
      </c>
      <c r="F1430">
        <f>SUMIF($A$2:$A$1594,A1430,$D$2:$D$1594)</f>
        <v/>
      </c>
    </row>
    <row r="1431">
      <c r="A1431" t="inlineStr">
        <is>
          <t>Mavyuva, Boniface</t>
        </is>
      </c>
      <c r="B1431" t="inlineStr">
        <is>
          <t>Niger</t>
        </is>
      </c>
      <c r="C1431" t="inlineStr">
        <is>
          <t>NIG04</t>
        </is>
      </c>
      <c r="D1431" t="n">
        <v>0.5</v>
      </c>
      <c r="E1431" t="inlineStr">
        <is>
          <t>Dig Infrastructure Lead</t>
        </is>
      </c>
      <c r="F1431">
        <f>SUMIF($A$2:$A$1594,A1431,$D$2:$D$1594)</f>
        <v/>
      </c>
    </row>
    <row r="1432">
      <c r="A1432" t="inlineStr">
        <is>
          <t>Showalter, Caitlin</t>
        </is>
      </c>
      <c r="B1432" t="inlineStr">
        <is>
          <t>Niger</t>
        </is>
      </c>
      <c r="C1432" t="inlineStr">
        <is>
          <t>NIG01</t>
        </is>
      </c>
      <c r="D1432" t="n">
        <v>0.24</v>
      </c>
      <c r="E1432" t="inlineStr">
        <is>
          <t>M&amp;E and Learning</t>
        </is>
      </c>
      <c r="F1432">
        <f>SUMIF($A$2:$A$1594,A1432,$D$2:$D$1594)</f>
        <v/>
      </c>
    </row>
    <row r="1433">
      <c r="A1433" t="inlineStr">
        <is>
          <t>Showalter, Caitlin</t>
        </is>
      </c>
      <c r="B1433" t="inlineStr">
        <is>
          <t>Niger</t>
        </is>
      </c>
      <c r="C1433" t="inlineStr">
        <is>
          <t>NIG02</t>
        </is>
      </c>
      <c r="D1433" t="n">
        <v>0.33</v>
      </c>
      <c r="E1433" t="inlineStr">
        <is>
          <t>M&amp;E and Learning</t>
        </is>
      </c>
      <c r="F1433">
        <f>SUMIF($A$2:$A$1594,A1433,$D$2:$D$1594)</f>
        <v/>
      </c>
    </row>
    <row r="1434">
      <c r="A1434" t="inlineStr">
        <is>
          <t>Showalter, Caitlin</t>
        </is>
      </c>
      <c r="B1434" t="inlineStr">
        <is>
          <t>Niger</t>
        </is>
      </c>
      <c r="C1434" t="inlineStr">
        <is>
          <t>NIG03</t>
        </is>
      </c>
      <c r="D1434" t="n">
        <v>0.23</v>
      </c>
      <c r="E1434" t="inlineStr">
        <is>
          <t>M&amp;E and Learning</t>
        </is>
      </c>
      <c r="F1434">
        <f>SUMIF($A$2:$A$1594,A1434,$D$2:$D$1594)</f>
        <v/>
      </c>
    </row>
    <row r="1435">
      <c r="A1435" t="inlineStr">
        <is>
          <t>Showalter, Caitlin</t>
        </is>
      </c>
      <c r="B1435" t="inlineStr">
        <is>
          <t>Niger</t>
        </is>
      </c>
      <c r="C1435" t="inlineStr">
        <is>
          <t>NIG04</t>
        </is>
      </c>
      <c r="D1435" t="n">
        <v>0.16</v>
      </c>
      <c r="E1435" t="inlineStr">
        <is>
          <t>M&amp;E and Learning</t>
        </is>
      </c>
      <c r="F1435">
        <f>SUMIF($A$2:$A$1594,A1435,$D$2:$D$1594)</f>
        <v/>
      </c>
    </row>
    <row r="1436">
      <c r="A1436" t="inlineStr">
        <is>
          <t>Showalter, Caitlin</t>
        </is>
      </c>
      <c r="B1436" t="inlineStr">
        <is>
          <t>Niger</t>
        </is>
      </c>
      <c r="C1436" t="inlineStr">
        <is>
          <t>NIG05</t>
        </is>
      </c>
      <c r="D1436" t="n">
        <v>0.44</v>
      </c>
      <c r="E1436" t="inlineStr">
        <is>
          <t>M&amp;E and Learning</t>
        </is>
      </c>
      <c r="F1436">
        <f>SUMIF($A$2:$A$1594,A1436,$D$2:$D$1594)</f>
        <v/>
      </c>
    </row>
    <row r="1437">
      <c r="A1437" t="inlineStr">
        <is>
          <t>Showalter, Caitlin</t>
        </is>
      </c>
      <c r="B1437" t="inlineStr">
        <is>
          <t>Niger</t>
        </is>
      </c>
      <c r="C1437" t="inlineStr">
        <is>
          <t>NIG06</t>
        </is>
      </c>
      <c r="D1437" t="n">
        <v>0.17</v>
      </c>
      <c r="E1437" t="inlineStr">
        <is>
          <t>M&amp;E and Learning</t>
        </is>
      </c>
      <c r="F1437">
        <f>SUMIF($A$2:$A$1594,A1437,$D$2:$D$1594)</f>
        <v/>
      </c>
    </row>
    <row r="1438">
      <c r="A1438" t="inlineStr">
        <is>
          <t>Showalter, Caitlin</t>
        </is>
      </c>
      <c r="B1438" t="inlineStr">
        <is>
          <t>Niger</t>
        </is>
      </c>
      <c r="C1438" t="inlineStr">
        <is>
          <t>NIG07</t>
        </is>
      </c>
      <c r="D1438" t="n">
        <v>0.4</v>
      </c>
      <c r="E1438" t="inlineStr">
        <is>
          <t>M&amp;E and Learning</t>
        </is>
      </c>
      <c r="F1438">
        <f>SUMIF($A$2:$A$1594,A1438,$D$2:$D$1594)</f>
        <v/>
      </c>
    </row>
    <row r="1439">
      <c r="A1439" t="inlineStr">
        <is>
          <t>Showalter, Caitlin</t>
        </is>
      </c>
      <c r="B1439" t="inlineStr">
        <is>
          <t>Niger</t>
        </is>
      </c>
      <c r="C1439" t="inlineStr">
        <is>
          <t>NIG08</t>
        </is>
      </c>
      <c r="D1439" t="n">
        <v>0.11</v>
      </c>
      <c r="E1439" t="inlineStr">
        <is>
          <t>M&amp;E and Learning</t>
        </is>
      </c>
      <c r="F1439">
        <f>SUMIF($A$2:$A$1594,A1439,$D$2:$D$1594)</f>
        <v/>
      </c>
    </row>
    <row r="1440">
      <c r="A1440" t="inlineStr">
        <is>
          <t>Showalter, Caitlin</t>
        </is>
      </c>
      <c r="B1440" t="inlineStr">
        <is>
          <t>Niger</t>
        </is>
      </c>
      <c r="C1440" t="inlineStr">
        <is>
          <t>NIG09</t>
        </is>
      </c>
      <c r="D1440" t="n">
        <v>0.7</v>
      </c>
      <c r="E1440" t="inlineStr">
        <is>
          <t>M&amp;E and Learning</t>
        </is>
      </c>
      <c r="F1440">
        <f>SUMIF($A$2:$A$1594,A1440,$D$2:$D$1594)</f>
        <v/>
      </c>
    </row>
    <row r="1441">
      <c r="A1441" t="inlineStr">
        <is>
          <t>Showalter, Caitlin</t>
        </is>
      </c>
      <c r="B1441" t="inlineStr">
        <is>
          <t>Niger</t>
        </is>
      </c>
      <c r="C1441" t="inlineStr">
        <is>
          <t>NIG10</t>
        </is>
      </c>
      <c r="D1441" t="n">
        <v>0.22</v>
      </c>
      <c r="E1441" t="inlineStr">
        <is>
          <t>M&amp;E and Learning</t>
        </is>
      </c>
      <c r="F1441">
        <f>SUMIF($A$2:$A$1594,A1441,$D$2:$D$1594)</f>
        <v/>
      </c>
    </row>
    <row r="1442">
      <c r="A1442" t="inlineStr">
        <is>
          <t>Miranda Rondon de Ro, Ing</t>
        </is>
      </c>
      <c r="B1442" t="inlineStr">
        <is>
          <t>Niger</t>
        </is>
      </c>
      <c r="C1442" t="inlineStr">
        <is>
          <t>NIG01</t>
        </is>
      </c>
      <c r="D1442" t="n">
        <v>0.24</v>
      </c>
      <c r="E1442" t="inlineStr">
        <is>
          <t>M&amp;E and Learning</t>
        </is>
      </c>
      <c r="F1442">
        <f>SUMIF($A$2:$A$1594,A1442,$D$2:$D$1594)</f>
        <v/>
      </c>
    </row>
    <row r="1443">
      <c r="A1443" t="inlineStr">
        <is>
          <t>Miranda Rondon de Ro, Ing</t>
        </is>
      </c>
      <c r="B1443" t="inlineStr">
        <is>
          <t>Niger</t>
        </is>
      </c>
      <c r="C1443" t="inlineStr">
        <is>
          <t>NIG02</t>
        </is>
      </c>
      <c r="D1443" t="n">
        <v>0.33</v>
      </c>
      <c r="E1443" t="inlineStr">
        <is>
          <t>M&amp;E and Learning</t>
        </is>
      </c>
      <c r="F1443">
        <f>SUMIF($A$2:$A$1594,A1443,$D$2:$D$1594)</f>
        <v/>
      </c>
    </row>
    <row r="1444">
      <c r="A1444" t="inlineStr">
        <is>
          <t>Miranda Rondon de Ro, Ing</t>
        </is>
      </c>
      <c r="B1444" t="inlineStr">
        <is>
          <t>Niger</t>
        </is>
      </c>
      <c r="C1444" t="inlineStr">
        <is>
          <t>NIG03</t>
        </is>
      </c>
      <c r="D1444" t="n">
        <v>0.23</v>
      </c>
      <c r="E1444" t="inlineStr">
        <is>
          <t>M&amp;E and Learning</t>
        </is>
      </c>
      <c r="F1444">
        <f>SUMIF($A$2:$A$1594,A1444,$D$2:$D$1594)</f>
        <v/>
      </c>
    </row>
    <row r="1445">
      <c r="A1445" t="inlineStr">
        <is>
          <t>Miranda Rondon de Ro, Ing</t>
        </is>
      </c>
      <c r="B1445" t="inlineStr">
        <is>
          <t>Niger</t>
        </is>
      </c>
      <c r="C1445" t="inlineStr">
        <is>
          <t>NIG04</t>
        </is>
      </c>
      <c r="D1445" t="n">
        <v>0.16</v>
      </c>
      <c r="E1445" t="inlineStr">
        <is>
          <t>M&amp;E and Learning</t>
        </is>
      </c>
      <c r="F1445">
        <f>SUMIF($A$2:$A$1594,A1445,$D$2:$D$1594)</f>
        <v/>
      </c>
    </row>
    <row r="1446">
      <c r="A1446" t="inlineStr">
        <is>
          <t>Miranda Rondon de Ro, Ing</t>
        </is>
      </c>
      <c r="B1446" t="inlineStr">
        <is>
          <t>Niger</t>
        </is>
      </c>
      <c r="C1446" t="inlineStr">
        <is>
          <t>NIG05</t>
        </is>
      </c>
      <c r="D1446" t="n">
        <v>0.44</v>
      </c>
      <c r="E1446" t="inlineStr">
        <is>
          <t>M&amp;E and Learning</t>
        </is>
      </c>
      <c r="F1446">
        <f>SUMIF($A$2:$A$1594,A1446,$D$2:$D$1594)</f>
        <v/>
      </c>
    </row>
    <row r="1447">
      <c r="A1447" t="inlineStr">
        <is>
          <t>Miranda Rondon de Ro, Ing</t>
        </is>
      </c>
      <c r="B1447" t="inlineStr">
        <is>
          <t>Niger</t>
        </is>
      </c>
      <c r="C1447" t="inlineStr">
        <is>
          <t>NIG06</t>
        </is>
      </c>
      <c r="D1447" t="n">
        <v>0.17</v>
      </c>
      <c r="E1447" t="inlineStr">
        <is>
          <t>M&amp;E and Learning</t>
        </is>
      </c>
      <c r="F1447">
        <f>SUMIF($A$2:$A$1594,A1447,$D$2:$D$1594)</f>
        <v/>
      </c>
    </row>
    <row r="1448">
      <c r="A1448" t="inlineStr">
        <is>
          <t>Miranda Rondon de Ro, Ing</t>
        </is>
      </c>
      <c r="B1448" t="inlineStr">
        <is>
          <t>Niger</t>
        </is>
      </c>
      <c r="C1448" t="inlineStr">
        <is>
          <t>NIG07</t>
        </is>
      </c>
      <c r="D1448" t="n">
        <v>0.4</v>
      </c>
      <c r="E1448" t="inlineStr">
        <is>
          <t>M&amp;E and Learning</t>
        </is>
      </c>
      <c r="F1448">
        <f>SUMIF($A$2:$A$1594,A1448,$D$2:$D$1594)</f>
        <v/>
      </c>
    </row>
    <row r="1449">
      <c r="A1449" t="inlineStr">
        <is>
          <t>Miranda Rondon de Ro, Ing</t>
        </is>
      </c>
      <c r="B1449" t="inlineStr">
        <is>
          <t>Niger</t>
        </is>
      </c>
      <c r="C1449" t="inlineStr">
        <is>
          <t>NIG08</t>
        </is>
      </c>
      <c r="D1449" t="n">
        <v>0.11</v>
      </c>
      <c r="E1449" t="inlineStr">
        <is>
          <t>M&amp;E and Learning</t>
        </is>
      </c>
      <c r="F1449">
        <f>SUMIF($A$2:$A$1594,A1449,$D$2:$D$1594)</f>
        <v/>
      </c>
    </row>
    <row r="1450">
      <c r="A1450" t="inlineStr">
        <is>
          <t>Miranda Rondon de Ro, Ing</t>
        </is>
      </c>
      <c r="B1450" t="inlineStr">
        <is>
          <t>Niger</t>
        </is>
      </c>
      <c r="C1450" t="inlineStr">
        <is>
          <t>NIG09</t>
        </is>
      </c>
      <c r="D1450" t="n">
        <v>0.7</v>
      </c>
      <c r="E1450" t="inlineStr">
        <is>
          <t>M&amp;E and Learning</t>
        </is>
      </c>
      <c r="F1450">
        <f>SUMIF($A$2:$A$1594,A1450,$D$2:$D$1594)</f>
        <v/>
      </c>
    </row>
    <row r="1451">
      <c r="A1451" t="inlineStr">
        <is>
          <t>Miranda Rondon de Ro, Ing</t>
        </is>
      </c>
      <c r="B1451" t="inlineStr">
        <is>
          <t>Niger</t>
        </is>
      </c>
      <c r="C1451" t="inlineStr">
        <is>
          <t>NIG10</t>
        </is>
      </c>
      <c r="D1451" t="n">
        <v>0.22</v>
      </c>
      <c r="E1451" t="inlineStr">
        <is>
          <t>M&amp;E and Learning</t>
        </is>
      </c>
      <c r="F1451">
        <f>SUMIF($A$2:$A$1594,A1451,$D$2:$D$1594)</f>
        <v/>
      </c>
    </row>
    <row r="1452">
      <c r="A1452" t="inlineStr">
        <is>
          <t>Sakaguchi, Kevin</t>
        </is>
      </c>
      <c r="B1452" t="inlineStr">
        <is>
          <t>Niger</t>
        </is>
      </c>
      <c r="C1452" t="inlineStr">
        <is>
          <t>NIG01</t>
        </is>
      </c>
      <c r="D1452" t="n">
        <v>0.24</v>
      </c>
      <c r="E1452" t="inlineStr">
        <is>
          <t>M&amp;E and Learning</t>
        </is>
      </c>
      <c r="F1452">
        <f>SUMIF($A$2:$A$1594,A1452,$D$2:$D$1594)</f>
        <v/>
      </c>
    </row>
    <row r="1453">
      <c r="A1453" t="inlineStr">
        <is>
          <t>Sakaguchi, Kevin</t>
        </is>
      </c>
      <c r="B1453" t="inlineStr">
        <is>
          <t>Niger</t>
        </is>
      </c>
      <c r="C1453" t="inlineStr">
        <is>
          <t>NIG02</t>
        </is>
      </c>
      <c r="D1453" t="n">
        <v>0.33</v>
      </c>
      <c r="E1453" t="inlineStr">
        <is>
          <t>M&amp;E and Learning</t>
        </is>
      </c>
      <c r="F1453">
        <f>SUMIF($A$2:$A$1594,A1453,$D$2:$D$1594)</f>
        <v/>
      </c>
    </row>
    <row r="1454">
      <c r="A1454" t="inlineStr">
        <is>
          <t>Sakaguchi, Kevin</t>
        </is>
      </c>
      <c r="B1454" t="inlineStr">
        <is>
          <t>Niger</t>
        </is>
      </c>
      <c r="C1454" t="inlineStr">
        <is>
          <t>NIG03</t>
        </is>
      </c>
      <c r="D1454" t="n">
        <v>0.23</v>
      </c>
      <c r="E1454" t="inlineStr">
        <is>
          <t>M&amp;E and Learning</t>
        </is>
      </c>
      <c r="F1454">
        <f>SUMIF($A$2:$A$1594,A1454,$D$2:$D$1594)</f>
        <v/>
      </c>
    </row>
    <row r="1455">
      <c r="A1455" t="inlineStr">
        <is>
          <t>Sakaguchi, Kevin</t>
        </is>
      </c>
      <c r="B1455" t="inlineStr">
        <is>
          <t>Niger</t>
        </is>
      </c>
      <c r="C1455" t="inlineStr">
        <is>
          <t>NIG04</t>
        </is>
      </c>
      <c r="D1455" t="n">
        <v>0.16</v>
      </c>
      <c r="E1455" t="inlineStr">
        <is>
          <t>M&amp;E and Learning</t>
        </is>
      </c>
      <c r="F1455">
        <f>SUMIF($A$2:$A$1594,A1455,$D$2:$D$1594)</f>
        <v/>
      </c>
    </row>
    <row r="1456">
      <c r="A1456" t="inlineStr">
        <is>
          <t>Sakaguchi, Kevin</t>
        </is>
      </c>
      <c r="B1456" t="inlineStr">
        <is>
          <t>Niger</t>
        </is>
      </c>
      <c r="C1456" t="inlineStr">
        <is>
          <t>NIG05</t>
        </is>
      </c>
      <c r="D1456" t="n">
        <v>0.44</v>
      </c>
      <c r="E1456" t="inlineStr">
        <is>
          <t>M&amp;E and Learning</t>
        </is>
      </c>
      <c r="F1456">
        <f>SUMIF($A$2:$A$1594,A1456,$D$2:$D$1594)</f>
        <v/>
      </c>
    </row>
    <row r="1457">
      <c r="A1457" t="inlineStr">
        <is>
          <t>Sakaguchi, Kevin</t>
        </is>
      </c>
      <c r="B1457" t="inlineStr">
        <is>
          <t>Niger</t>
        </is>
      </c>
      <c r="C1457" t="inlineStr">
        <is>
          <t>NIG06</t>
        </is>
      </c>
      <c r="D1457" t="n">
        <v>0.17</v>
      </c>
      <c r="E1457" t="inlineStr">
        <is>
          <t>M&amp;E and Learning</t>
        </is>
      </c>
      <c r="F1457">
        <f>SUMIF($A$2:$A$1594,A1457,$D$2:$D$1594)</f>
        <v/>
      </c>
    </row>
    <row r="1458">
      <c r="A1458" t="inlineStr">
        <is>
          <t>Sakaguchi, Kevin</t>
        </is>
      </c>
      <c r="B1458" t="inlineStr">
        <is>
          <t>Niger</t>
        </is>
      </c>
      <c r="C1458" t="inlineStr">
        <is>
          <t>NIG07</t>
        </is>
      </c>
      <c r="D1458" t="n">
        <v>0.4</v>
      </c>
      <c r="E1458" t="inlineStr">
        <is>
          <t>M&amp;E and Learning</t>
        </is>
      </c>
      <c r="F1458">
        <f>SUMIF($A$2:$A$1594,A1458,$D$2:$D$1594)</f>
        <v/>
      </c>
    </row>
    <row r="1459">
      <c r="A1459" t="inlineStr">
        <is>
          <t>Sakaguchi, Kevin</t>
        </is>
      </c>
      <c r="B1459" t="inlineStr">
        <is>
          <t>Niger</t>
        </is>
      </c>
      <c r="C1459" t="inlineStr">
        <is>
          <t>NIG08</t>
        </is>
      </c>
      <c r="D1459" t="n">
        <v>0.11</v>
      </c>
      <c r="E1459" t="inlineStr">
        <is>
          <t>M&amp;E and Learning</t>
        </is>
      </c>
      <c r="F1459">
        <f>SUMIF($A$2:$A$1594,A1459,$D$2:$D$1594)</f>
        <v/>
      </c>
    </row>
    <row r="1460">
      <c r="A1460" t="inlineStr">
        <is>
          <t>Sakaguchi, Kevin</t>
        </is>
      </c>
      <c r="B1460" t="inlineStr">
        <is>
          <t>Niger</t>
        </is>
      </c>
      <c r="C1460" t="inlineStr">
        <is>
          <t>NIG09</t>
        </is>
      </c>
      <c r="D1460" t="n">
        <v>0.7</v>
      </c>
      <c r="E1460" t="inlineStr">
        <is>
          <t>M&amp;E and Learning</t>
        </is>
      </c>
      <c r="F1460">
        <f>SUMIF($A$2:$A$1594,A1460,$D$2:$D$1594)</f>
        <v/>
      </c>
    </row>
    <row r="1461">
      <c r="A1461" t="inlineStr">
        <is>
          <t>Sakaguchi, Kevin</t>
        </is>
      </c>
      <c r="B1461" t="inlineStr">
        <is>
          <t>Niger</t>
        </is>
      </c>
      <c r="C1461" t="inlineStr">
        <is>
          <t>NIG10</t>
        </is>
      </c>
      <c r="D1461" t="n">
        <v>0.22</v>
      </c>
      <c r="E1461" t="inlineStr">
        <is>
          <t>M&amp;E and Learning</t>
        </is>
      </c>
      <c r="F1461">
        <f>SUMIF($A$2:$A$1594,A1461,$D$2:$D$1594)</f>
        <v/>
      </c>
    </row>
    <row r="1462">
      <c r="A1462" t="inlineStr">
        <is>
          <t>Claussen, Laurence</t>
        </is>
      </c>
      <c r="B1462" t="inlineStr">
        <is>
          <t>Niger</t>
        </is>
      </c>
      <c r="C1462" t="inlineStr">
        <is>
          <t>NIG01</t>
        </is>
      </c>
      <c r="D1462" t="n">
        <v>0.24</v>
      </c>
      <c r="E1462" t="inlineStr">
        <is>
          <t>Comms Manager</t>
        </is>
      </c>
      <c r="F1462">
        <f>SUMIF($A$2:$A$1594,A1462,$D$2:$D$1594)</f>
        <v/>
      </c>
    </row>
    <row r="1463">
      <c r="A1463" t="inlineStr">
        <is>
          <t>Claussen, Laurence</t>
        </is>
      </c>
      <c r="B1463" t="inlineStr">
        <is>
          <t>Niger</t>
        </is>
      </c>
      <c r="C1463" t="inlineStr">
        <is>
          <t>NIG02</t>
        </is>
      </c>
      <c r="D1463" t="n">
        <v>0.33</v>
      </c>
      <c r="E1463" t="inlineStr">
        <is>
          <t>Comms Manager</t>
        </is>
      </c>
      <c r="F1463">
        <f>SUMIF($A$2:$A$1594,A1463,$D$2:$D$1594)</f>
        <v/>
      </c>
    </row>
    <row r="1464">
      <c r="A1464" t="inlineStr">
        <is>
          <t>Claussen, Laurence</t>
        </is>
      </c>
      <c r="B1464" t="inlineStr">
        <is>
          <t>Niger</t>
        </is>
      </c>
      <c r="C1464" t="inlineStr">
        <is>
          <t>NIG03</t>
        </is>
      </c>
      <c r="D1464" t="n">
        <v>0.23</v>
      </c>
      <c r="E1464" t="inlineStr">
        <is>
          <t>Comms Manager</t>
        </is>
      </c>
      <c r="F1464">
        <f>SUMIF($A$2:$A$1594,A1464,$D$2:$D$1594)</f>
        <v/>
      </c>
    </row>
    <row r="1465">
      <c r="A1465" t="inlineStr">
        <is>
          <t>Claussen, Laurence</t>
        </is>
      </c>
      <c r="B1465" t="inlineStr">
        <is>
          <t>Niger</t>
        </is>
      </c>
      <c r="C1465" t="inlineStr">
        <is>
          <t>NIG04</t>
        </is>
      </c>
      <c r="D1465" t="n">
        <v>0.16</v>
      </c>
      <c r="E1465" t="inlineStr">
        <is>
          <t>Comms Manager</t>
        </is>
      </c>
      <c r="F1465">
        <f>SUMIF($A$2:$A$1594,A1465,$D$2:$D$1594)</f>
        <v/>
      </c>
    </row>
    <row r="1466">
      <c r="A1466" t="inlineStr">
        <is>
          <t>Claussen, Laurence</t>
        </is>
      </c>
      <c r="B1466" t="inlineStr">
        <is>
          <t>Niger</t>
        </is>
      </c>
      <c r="C1466" t="inlineStr">
        <is>
          <t>NIG05</t>
        </is>
      </c>
      <c r="D1466" t="n">
        <v>0.44</v>
      </c>
      <c r="E1466" t="inlineStr">
        <is>
          <t>Comms Manager</t>
        </is>
      </c>
      <c r="F1466">
        <f>SUMIF($A$2:$A$1594,A1466,$D$2:$D$1594)</f>
        <v/>
      </c>
    </row>
    <row r="1467">
      <c r="A1467" t="inlineStr">
        <is>
          <t>Claussen, Laurence</t>
        </is>
      </c>
      <c r="B1467" t="inlineStr">
        <is>
          <t>Niger</t>
        </is>
      </c>
      <c r="C1467" t="inlineStr">
        <is>
          <t>NIG06</t>
        </is>
      </c>
      <c r="D1467" t="n">
        <v>0.17</v>
      </c>
      <c r="E1467" t="inlineStr">
        <is>
          <t>Comms Manager</t>
        </is>
      </c>
      <c r="F1467">
        <f>SUMIF($A$2:$A$1594,A1467,$D$2:$D$1594)</f>
        <v/>
      </c>
    </row>
    <row r="1468">
      <c r="A1468" t="inlineStr">
        <is>
          <t>Claussen, Laurence</t>
        </is>
      </c>
      <c r="B1468" t="inlineStr">
        <is>
          <t>Niger</t>
        </is>
      </c>
      <c r="C1468" t="inlineStr">
        <is>
          <t>NIG07</t>
        </is>
      </c>
      <c r="D1468" t="n">
        <v>0.4</v>
      </c>
      <c r="E1468" t="inlineStr">
        <is>
          <t>Comms Manager</t>
        </is>
      </c>
      <c r="F1468">
        <f>SUMIF($A$2:$A$1594,A1468,$D$2:$D$1594)</f>
        <v/>
      </c>
    </row>
    <row r="1469">
      <c r="A1469" t="inlineStr">
        <is>
          <t>Claussen, Laurence</t>
        </is>
      </c>
      <c r="B1469" t="inlineStr">
        <is>
          <t>Niger</t>
        </is>
      </c>
      <c r="C1469" t="inlineStr">
        <is>
          <t>NIG08</t>
        </is>
      </c>
      <c r="D1469" t="n">
        <v>0.11</v>
      </c>
      <c r="E1469" t="inlineStr">
        <is>
          <t>Comms Manager</t>
        </is>
      </c>
      <c r="F1469">
        <f>SUMIF($A$2:$A$1594,A1469,$D$2:$D$1594)</f>
        <v/>
      </c>
    </row>
    <row r="1470">
      <c r="A1470" t="inlineStr">
        <is>
          <t>Claussen, Laurence</t>
        </is>
      </c>
      <c r="B1470" t="inlineStr">
        <is>
          <t>Niger</t>
        </is>
      </c>
      <c r="C1470" t="inlineStr">
        <is>
          <t>NIG09</t>
        </is>
      </c>
      <c r="D1470" t="n">
        <v>0.7</v>
      </c>
      <c r="E1470" t="inlineStr">
        <is>
          <t>Comms Manager</t>
        </is>
      </c>
      <c r="F1470">
        <f>SUMIF($A$2:$A$1594,A1470,$D$2:$D$1594)</f>
        <v/>
      </c>
    </row>
    <row r="1471">
      <c r="A1471" t="inlineStr">
        <is>
          <t>Claussen, Laurence</t>
        </is>
      </c>
      <c r="B1471" t="inlineStr">
        <is>
          <t>Niger</t>
        </is>
      </c>
      <c r="C1471" t="inlineStr">
        <is>
          <t>NIG10</t>
        </is>
      </c>
      <c r="D1471" t="n">
        <v>0.22</v>
      </c>
      <c r="E1471" t="inlineStr">
        <is>
          <t>Comms Manager</t>
        </is>
      </c>
      <c r="F1471">
        <f>SUMIF($A$2:$A$1594,A1471,$D$2:$D$1594)</f>
        <v/>
      </c>
    </row>
    <row r="1472">
      <c r="A1472" t="inlineStr">
        <is>
          <t>Loehr, Caitlin</t>
        </is>
      </c>
      <c r="B1472" t="inlineStr">
        <is>
          <t>Niger</t>
        </is>
      </c>
      <c r="C1472" t="inlineStr">
        <is>
          <t>NIG01</t>
        </is>
      </c>
      <c r="D1472" t="n">
        <v>1</v>
      </c>
      <c r="E1472" t="inlineStr">
        <is>
          <t>Senior Tech Advisor - Digital</t>
        </is>
      </c>
      <c r="F1472">
        <f>SUMIF($A$2:$A$1594,A1472,$D$2:$D$1594)</f>
        <v/>
      </c>
    </row>
    <row r="1473">
      <c r="A1473" t="inlineStr">
        <is>
          <t>Loehr, Caitlin</t>
        </is>
      </c>
      <c r="B1473" t="inlineStr">
        <is>
          <t>Niger</t>
        </is>
      </c>
      <c r="C1473" t="inlineStr">
        <is>
          <t>NIG02</t>
        </is>
      </c>
      <c r="D1473" t="n">
        <v>1</v>
      </c>
      <c r="E1473" t="inlineStr">
        <is>
          <t>Senior Tech Advisor - Digital</t>
        </is>
      </c>
      <c r="F1473">
        <f>SUMIF($A$2:$A$1594,A1473,$D$2:$D$1594)</f>
        <v/>
      </c>
    </row>
    <row r="1474">
      <c r="A1474" t="inlineStr">
        <is>
          <t>Loehr, Caitlin</t>
        </is>
      </c>
      <c r="B1474" t="inlineStr">
        <is>
          <t>Niger</t>
        </is>
      </c>
      <c r="C1474" t="inlineStr">
        <is>
          <t>NIG03</t>
        </is>
      </c>
      <c r="D1474" t="n">
        <v>1</v>
      </c>
      <c r="E1474" t="inlineStr">
        <is>
          <t>Senior Tech Advisor - Digital</t>
        </is>
      </c>
      <c r="F1474">
        <f>SUMIF($A$2:$A$1594,A1474,$D$2:$D$1594)</f>
        <v/>
      </c>
    </row>
    <row r="1475">
      <c r="A1475" t="inlineStr">
        <is>
          <t>Loehr, Caitlin</t>
        </is>
      </c>
      <c r="B1475" t="inlineStr">
        <is>
          <t>Niger</t>
        </is>
      </c>
      <c r="C1475" t="inlineStr">
        <is>
          <t>NIG04</t>
        </is>
      </c>
      <c r="D1475" t="n">
        <v>1</v>
      </c>
      <c r="E1475" t="inlineStr">
        <is>
          <t>Senior Tech Advisor - Digital</t>
        </is>
      </c>
      <c r="F1475">
        <f>SUMIF($A$2:$A$1594,A1475,$D$2:$D$1594)</f>
        <v/>
      </c>
    </row>
    <row r="1476">
      <c r="A1476" t="inlineStr">
        <is>
          <t>Loehr, Caitlin</t>
        </is>
      </c>
      <c r="B1476" t="inlineStr">
        <is>
          <t>Niger</t>
        </is>
      </c>
      <c r="C1476" t="inlineStr">
        <is>
          <t>NIG05</t>
        </is>
      </c>
      <c r="D1476" t="n">
        <v>1</v>
      </c>
      <c r="E1476" t="inlineStr">
        <is>
          <t>Senior Tech Advisor - Digital</t>
        </is>
      </c>
      <c r="F1476">
        <f>SUMIF($A$2:$A$1594,A1476,$D$2:$D$1594)</f>
        <v/>
      </c>
    </row>
    <row r="1477">
      <c r="A1477" t="inlineStr">
        <is>
          <t>Loehr, Caitlin</t>
        </is>
      </c>
      <c r="B1477" t="inlineStr">
        <is>
          <t>Niger</t>
        </is>
      </c>
      <c r="C1477" t="inlineStr">
        <is>
          <t>NIG06</t>
        </is>
      </c>
      <c r="D1477" t="n">
        <v>1</v>
      </c>
      <c r="E1477" t="inlineStr">
        <is>
          <t>Senior Tech Advisor - Digital</t>
        </is>
      </c>
      <c r="F1477">
        <f>SUMIF($A$2:$A$1594,A1477,$D$2:$D$1594)</f>
        <v/>
      </c>
    </row>
    <row r="1478">
      <c r="A1478" t="inlineStr">
        <is>
          <t>Loehr, Caitlin</t>
        </is>
      </c>
      <c r="B1478" t="inlineStr">
        <is>
          <t>Niger</t>
        </is>
      </c>
      <c r="C1478" t="inlineStr">
        <is>
          <t>NIG07</t>
        </is>
      </c>
      <c r="D1478" t="n">
        <v>1</v>
      </c>
      <c r="E1478" t="inlineStr">
        <is>
          <t>Senior Tech Advisor - Digital</t>
        </is>
      </c>
      <c r="F1478">
        <f>SUMIF($A$2:$A$1594,A1478,$D$2:$D$1594)</f>
        <v/>
      </c>
    </row>
    <row r="1479">
      <c r="A1479" t="inlineStr">
        <is>
          <t>Loehr, Caitlin</t>
        </is>
      </c>
      <c r="B1479" t="inlineStr">
        <is>
          <t>Niger</t>
        </is>
      </c>
      <c r="C1479" t="inlineStr">
        <is>
          <t>NIG08</t>
        </is>
      </c>
      <c r="D1479" t="n">
        <v>1</v>
      </c>
      <c r="E1479" t="inlineStr">
        <is>
          <t>Senior Tech Advisor - Digital</t>
        </is>
      </c>
      <c r="F1479">
        <f>SUMIF($A$2:$A$1594,A1479,$D$2:$D$1594)</f>
        <v/>
      </c>
    </row>
    <row r="1480">
      <c r="A1480" t="inlineStr">
        <is>
          <t>Loehr, Caitlin</t>
        </is>
      </c>
      <c r="B1480" t="inlineStr">
        <is>
          <t>Niger</t>
        </is>
      </c>
      <c r="C1480" t="inlineStr">
        <is>
          <t>NIG09</t>
        </is>
      </c>
      <c r="D1480" t="n">
        <v>2</v>
      </c>
      <c r="E1480" t="inlineStr">
        <is>
          <t>Senior Tech Advisor - Digital</t>
        </is>
      </c>
      <c r="F1480">
        <f>SUMIF($A$2:$A$1594,A1480,$D$2:$D$1594)</f>
        <v/>
      </c>
    </row>
    <row r="1481">
      <c r="A1481" t="inlineStr">
        <is>
          <t>Loehr, Caitlin</t>
        </is>
      </c>
      <c r="B1481" t="inlineStr">
        <is>
          <t>Niger</t>
        </is>
      </c>
      <c r="C1481" t="inlineStr">
        <is>
          <t>NIG10</t>
        </is>
      </c>
      <c r="D1481" t="n">
        <v>2</v>
      </c>
      <c r="E1481" t="inlineStr">
        <is>
          <t>Senior Tech Advisor - Digital</t>
        </is>
      </c>
      <c r="F1481">
        <f>SUMIF($A$2:$A$1594,A1481,$D$2:$D$1594)</f>
        <v/>
      </c>
    </row>
    <row r="1482">
      <c r="A1482" t="inlineStr">
        <is>
          <t>Mahoro, Virgile</t>
        </is>
      </c>
      <c r="B1482" t="inlineStr">
        <is>
          <t>Niger</t>
        </is>
      </c>
      <c r="C1482" t="inlineStr">
        <is>
          <t>NIG01</t>
        </is>
      </c>
      <c r="D1482" t="n">
        <v>2</v>
      </c>
      <c r="E1482" t="inlineStr">
        <is>
          <t>Associate Pool</t>
        </is>
      </c>
      <c r="F1482">
        <f>SUMIF($A$2:$A$1594,A1482,$D$2:$D$1594)</f>
        <v/>
      </c>
    </row>
    <row r="1483">
      <c r="A1483" t="inlineStr">
        <is>
          <t>Mahoro, Virgile</t>
        </is>
      </c>
      <c r="B1483" t="inlineStr">
        <is>
          <t>Niger</t>
        </is>
      </c>
      <c r="C1483" t="inlineStr">
        <is>
          <t>NIG02</t>
        </is>
      </c>
      <c r="D1483" t="n">
        <v>2</v>
      </c>
      <c r="E1483" t="inlineStr">
        <is>
          <t>Associate Pool</t>
        </is>
      </c>
      <c r="F1483">
        <f>SUMIF($A$2:$A$1594,A1483,$D$2:$D$1594)</f>
        <v/>
      </c>
    </row>
    <row r="1484">
      <c r="A1484" t="inlineStr">
        <is>
          <t>Mahoro, Virgile</t>
        </is>
      </c>
      <c r="B1484" t="inlineStr">
        <is>
          <t>Niger</t>
        </is>
      </c>
      <c r="C1484" t="inlineStr">
        <is>
          <t>NIG03</t>
        </is>
      </c>
      <c r="D1484" t="n">
        <v>2</v>
      </c>
      <c r="E1484" t="inlineStr">
        <is>
          <t>Associate Pool</t>
        </is>
      </c>
      <c r="F1484">
        <f>SUMIF($A$2:$A$1594,A1484,$D$2:$D$1594)</f>
        <v/>
      </c>
    </row>
    <row r="1485">
      <c r="A1485" t="inlineStr">
        <is>
          <t>Mahoro, Virgile</t>
        </is>
      </c>
      <c r="B1485" t="inlineStr">
        <is>
          <t>Niger</t>
        </is>
      </c>
      <c r="C1485" t="inlineStr">
        <is>
          <t>NIG04</t>
        </is>
      </c>
      <c r="D1485" t="n">
        <v>2</v>
      </c>
      <c r="E1485" t="inlineStr">
        <is>
          <t>Associate Pool</t>
        </is>
      </c>
      <c r="F1485">
        <f>SUMIF($A$2:$A$1594,A1485,$D$2:$D$1594)</f>
        <v/>
      </c>
    </row>
    <row r="1486">
      <c r="A1486" t="inlineStr">
        <is>
          <t>Mahoro, Virgile</t>
        </is>
      </c>
      <c r="B1486" t="inlineStr">
        <is>
          <t>Niger</t>
        </is>
      </c>
      <c r="C1486" t="inlineStr">
        <is>
          <t>NIG05</t>
        </is>
      </c>
      <c r="D1486" t="n">
        <v>2</v>
      </c>
      <c r="E1486" t="inlineStr">
        <is>
          <t>Associate Pool</t>
        </is>
      </c>
      <c r="F1486">
        <f>SUMIF($A$2:$A$1594,A1486,$D$2:$D$1594)</f>
        <v/>
      </c>
    </row>
    <row r="1487">
      <c r="A1487" t="inlineStr">
        <is>
          <t>Mahoro, Virgile</t>
        </is>
      </c>
      <c r="B1487" t="inlineStr">
        <is>
          <t>Niger</t>
        </is>
      </c>
      <c r="C1487" t="inlineStr">
        <is>
          <t>NIG06</t>
        </is>
      </c>
      <c r="D1487" t="n">
        <v>2</v>
      </c>
      <c r="E1487" t="inlineStr">
        <is>
          <t>Associate Pool</t>
        </is>
      </c>
      <c r="F1487">
        <f>SUMIF($A$2:$A$1594,A1487,$D$2:$D$1594)</f>
        <v/>
      </c>
    </row>
    <row r="1488">
      <c r="A1488" t="inlineStr">
        <is>
          <t>Mahoro, Virgile</t>
        </is>
      </c>
      <c r="B1488" t="inlineStr">
        <is>
          <t>Niger</t>
        </is>
      </c>
      <c r="C1488" t="inlineStr">
        <is>
          <t>NIG07</t>
        </is>
      </c>
      <c r="D1488" t="n">
        <v>2</v>
      </c>
      <c r="E1488" t="inlineStr">
        <is>
          <t>Associate Pool</t>
        </is>
      </c>
      <c r="F1488">
        <f>SUMIF($A$2:$A$1594,A1488,$D$2:$D$1594)</f>
        <v/>
      </c>
    </row>
    <row r="1489">
      <c r="A1489" t="inlineStr">
        <is>
          <t>Mahoro, Virgile</t>
        </is>
      </c>
      <c r="B1489" t="inlineStr">
        <is>
          <t>Niger</t>
        </is>
      </c>
      <c r="C1489" t="inlineStr">
        <is>
          <t>NIG08</t>
        </is>
      </c>
      <c r="D1489" t="n">
        <v>3</v>
      </c>
      <c r="E1489" t="inlineStr">
        <is>
          <t>Associate Pool</t>
        </is>
      </c>
      <c r="F1489">
        <f>SUMIF($A$2:$A$1594,A1489,$D$2:$D$1594)</f>
        <v/>
      </c>
    </row>
    <row r="1490">
      <c r="A1490" t="inlineStr">
        <is>
          <t>Mahoro, Virgile</t>
        </is>
      </c>
      <c r="B1490" t="inlineStr">
        <is>
          <t>Niger</t>
        </is>
      </c>
      <c r="C1490" t="inlineStr">
        <is>
          <t>NIG09</t>
        </is>
      </c>
      <c r="D1490" t="n">
        <v>3</v>
      </c>
      <c r="E1490" t="inlineStr">
        <is>
          <t>Associate Pool</t>
        </is>
      </c>
      <c r="F1490">
        <f>SUMIF($A$2:$A$1594,A1490,$D$2:$D$1594)</f>
        <v/>
      </c>
    </row>
    <row r="1491">
      <c r="A1491" t="inlineStr">
        <is>
          <t>Mahoro, Virgile</t>
        </is>
      </c>
      <c r="B1491" t="inlineStr">
        <is>
          <t>Niger</t>
        </is>
      </c>
      <c r="C1491" t="inlineStr">
        <is>
          <t>NIG10</t>
        </is>
      </c>
      <c r="D1491" t="n">
        <v>3</v>
      </c>
      <c r="E1491" t="inlineStr">
        <is>
          <t>Associate Pool</t>
        </is>
      </c>
      <c r="F1491">
        <f>SUMIF($A$2:$A$1594,A1491,$D$2:$D$1594)</f>
        <v/>
      </c>
    </row>
    <row r="1492">
      <c r="A1492" t="inlineStr">
        <is>
          <t>Mathias, John</t>
        </is>
      </c>
      <c r="B1492" t="inlineStr">
        <is>
          <t>Niger</t>
        </is>
      </c>
      <c r="C1492" t="inlineStr">
        <is>
          <t>NIG03</t>
        </is>
      </c>
      <c r="D1492" t="n">
        <v>0.5600000000000001</v>
      </c>
      <c r="E1492" t="inlineStr">
        <is>
          <t>Operations Director</t>
        </is>
      </c>
      <c r="F1492">
        <f>SUMIF($A$2:$A$1594,A1492,$D$2:$D$1594)</f>
        <v/>
      </c>
    </row>
    <row r="1493">
      <c r="A1493" t="inlineStr">
        <is>
          <t>Mathias, John</t>
        </is>
      </c>
      <c r="B1493" t="inlineStr">
        <is>
          <t>Niger</t>
        </is>
      </c>
      <c r="C1493" t="inlineStr">
        <is>
          <t>NIG05</t>
        </is>
      </c>
      <c r="D1493" t="n">
        <v>0.84</v>
      </c>
      <c r="E1493" t="inlineStr">
        <is>
          <t>Operations Director</t>
        </is>
      </c>
      <c r="F1493">
        <f>SUMIF($A$2:$A$1594,A1493,$D$2:$D$1594)</f>
        <v/>
      </c>
    </row>
    <row r="1494">
      <c r="A1494" t="inlineStr">
        <is>
          <t>Mathias, John</t>
        </is>
      </c>
      <c r="B1494" t="inlineStr">
        <is>
          <t>Niger</t>
        </is>
      </c>
      <c r="C1494" t="inlineStr">
        <is>
          <t>NIG06</t>
        </is>
      </c>
      <c r="D1494" t="n">
        <v>0.17</v>
      </c>
      <c r="E1494" t="inlineStr">
        <is>
          <t>Operations Director</t>
        </is>
      </c>
      <c r="F1494">
        <f>SUMIF($A$2:$A$1594,A1494,$D$2:$D$1594)</f>
        <v/>
      </c>
    </row>
    <row r="1495">
      <c r="A1495" t="inlineStr">
        <is>
          <t>Mathias, John</t>
        </is>
      </c>
      <c r="B1495" t="inlineStr">
        <is>
          <t>Niger</t>
        </is>
      </c>
      <c r="C1495" t="inlineStr">
        <is>
          <t>NIG07</t>
        </is>
      </c>
      <c r="D1495" t="n">
        <v>0.51</v>
      </c>
      <c r="E1495" t="inlineStr">
        <is>
          <t>Operations Director</t>
        </is>
      </c>
      <c r="F1495">
        <f>SUMIF($A$2:$A$1594,A1495,$D$2:$D$1594)</f>
        <v/>
      </c>
    </row>
    <row r="1496">
      <c r="A1496" t="inlineStr">
        <is>
          <t>Mathias, John</t>
        </is>
      </c>
      <c r="B1496" t="inlineStr">
        <is>
          <t>Niger</t>
        </is>
      </c>
      <c r="C1496" t="inlineStr">
        <is>
          <t>NIG09</t>
        </is>
      </c>
      <c r="D1496" t="n">
        <v>0.7</v>
      </c>
      <c r="E1496" t="inlineStr">
        <is>
          <t>Operations Director</t>
        </is>
      </c>
      <c r="F1496">
        <f>SUMIF($A$2:$A$1594,A1496,$D$2:$D$1594)</f>
        <v/>
      </c>
    </row>
    <row r="1497">
      <c r="A1497" t="inlineStr">
        <is>
          <t>Mathias, John</t>
        </is>
      </c>
      <c r="B1497" t="inlineStr">
        <is>
          <t>Niger</t>
        </is>
      </c>
      <c r="C1497" t="inlineStr">
        <is>
          <t>NIG10</t>
        </is>
      </c>
      <c r="D1497" t="n">
        <v>0.22</v>
      </c>
      <c r="E1497" t="inlineStr">
        <is>
          <t>Operations Director</t>
        </is>
      </c>
      <c r="F1497">
        <f>SUMIF($A$2:$A$1594,A1497,$D$2:$D$1594)</f>
        <v/>
      </c>
    </row>
    <row r="1498">
      <c r="A1498" t="inlineStr">
        <is>
          <t>Misomali, Mark</t>
        </is>
      </c>
      <c r="B1498" t="inlineStr">
        <is>
          <t>Niger</t>
        </is>
      </c>
      <c r="C1498" t="inlineStr">
        <is>
          <t>NIG02</t>
        </is>
      </c>
      <c r="D1498" t="n">
        <v>0.33</v>
      </c>
      <c r="E1498" t="inlineStr">
        <is>
          <t xml:space="preserve">Operations Sr Finance Manager   </t>
        </is>
      </c>
      <c r="F1498">
        <f>SUMIF($A$2:$A$1594,A1498,$D$2:$D$1594)</f>
        <v/>
      </c>
    </row>
    <row r="1499">
      <c r="A1499" t="inlineStr">
        <is>
          <t>Misomali, Mark</t>
        </is>
      </c>
      <c r="B1499" t="inlineStr">
        <is>
          <t>Niger</t>
        </is>
      </c>
      <c r="C1499" t="inlineStr">
        <is>
          <t>NIG03</t>
        </is>
      </c>
      <c r="D1499" t="n">
        <v>0.23</v>
      </c>
      <c r="E1499" t="inlineStr">
        <is>
          <t xml:space="preserve">Operations Sr Finance Manager   </t>
        </is>
      </c>
      <c r="F1499">
        <f>SUMIF($A$2:$A$1594,A1499,$D$2:$D$1594)</f>
        <v/>
      </c>
    </row>
    <row r="1500">
      <c r="A1500" t="inlineStr">
        <is>
          <t>Misomali, Mark</t>
        </is>
      </c>
      <c r="B1500" t="inlineStr">
        <is>
          <t>Niger</t>
        </is>
      </c>
      <c r="C1500" t="inlineStr">
        <is>
          <t>NIG05</t>
        </is>
      </c>
      <c r="D1500" t="n">
        <v>0.84</v>
      </c>
      <c r="E1500" t="inlineStr">
        <is>
          <t xml:space="preserve">Operations Sr Finance Manager   </t>
        </is>
      </c>
      <c r="F1500">
        <f>SUMIF($A$2:$A$1594,A1500,$D$2:$D$1594)</f>
        <v/>
      </c>
    </row>
    <row r="1501">
      <c r="A1501" t="inlineStr">
        <is>
          <t>Misomali, Mark</t>
        </is>
      </c>
      <c r="B1501" t="inlineStr">
        <is>
          <t>Niger</t>
        </is>
      </c>
      <c r="C1501" t="inlineStr">
        <is>
          <t>NIG06</t>
        </is>
      </c>
      <c r="D1501" t="n">
        <v>0.17</v>
      </c>
      <c r="E1501" t="inlineStr">
        <is>
          <t xml:space="preserve">Operations Sr Finance Manager   </t>
        </is>
      </c>
      <c r="F1501">
        <f>SUMIF($A$2:$A$1594,A1501,$D$2:$D$1594)</f>
        <v/>
      </c>
    </row>
    <row r="1502">
      <c r="A1502" t="inlineStr">
        <is>
          <t>Misomali, Mark</t>
        </is>
      </c>
      <c r="B1502" t="inlineStr">
        <is>
          <t>Niger</t>
        </is>
      </c>
      <c r="C1502" t="inlineStr">
        <is>
          <t>NIG07</t>
        </is>
      </c>
      <c r="D1502" t="n">
        <v>0.51</v>
      </c>
      <c r="E1502" t="inlineStr">
        <is>
          <t xml:space="preserve">Operations Sr Finance Manager   </t>
        </is>
      </c>
      <c r="F1502">
        <f>SUMIF($A$2:$A$1594,A1502,$D$2:$D$1594)</f>
        <v/>
      </c>
    </row>
    <row r="1503">
      <c r="A1503" t="inlineStr">
        <is>
          <t>Misomali, Mark</t>
        </is>
      </c>
      <c r="B1503" t="inlineStr">
        <is>
          <t>Niger</t>
        </is>
      </c>
      <c r="C1503" t="inlineStr">
        <is>
          <t>NIG09</t>
        </is>
      </c>
      <c r="D1503" t="n">
        <v>0.7</v>
      </c>
      <c r="E1503" t="inlineStr">
        <is>
          <t xml:space="preserve">Operations Sr Finance Manager   </t>
        </is>
      </c>
      <c r="F1503">
        <f>SUMIF($A$2:$A$1594,A1503,$D$2:$D$1594)</f>
        <v/>
      </c>
    </row>
    <row r="1504">
      <c r="A1504" t="inlineStr">
        <is>
          <t>Misomali, Mark</t>
        </is>
      </c>
      <c r="B1504" t="inlineStr">
        <is>
          <t>Niger</t>
        </is>
      </c>
      <c r="C1504" t="inlineStr">
        <is>
          <t>NIG10</t>
        </is>
      </c>
      <c r="D1504" t="n">
        <v>0.22</v>
      </c>
      <c r="E1504" t="inlineStr">
        <is>
          <t xml:space="preserve">Operations Sr Finance Manager   </t>
        </is>
      </c>
      <c r="F1504">
        <f>SUMIF($A$2:$A$1594,A1504,$D$2:$D$1594)</f>
        <v/>
      </c>
    </row>
    <row r="1505">
      <c r="A1505" t="inlineStr">
        <is>
          <t>Noorzai, Mahmood</t>
        </is>
      </c>
      <c r="B1505" t="inlineStr">
        <is>
          <t>Niger</t>
        </is>
      </c>
      <c r="C1505" t="inlineStr">
        <is>
          <t>NIG02</t>
        </is>
      </c>
      <c r="D1505" t="n">
        <v>0.33</v>
      </c>
      <c r="E1505" t="inlineStr">
        <is>
          <t>Operations Finance Associate</t>
        </is>
      </c>
      <c r="F1505">
        <f>SUMIF($A$2:$A$1594,A1505,$D$2:$D$1594)</f>
        <v/>
      </c>
    </row>
    <row r="1506">
      <c r="A1506" t="inlineStr">
        <is>
          <t>Noorzai, Mahmood</t>
        </is>
      </c>
      <c r="B1506" t="inlineStr">
        <is>
          <t>Niger</t>
        </is>
      </c>
      <c r="C1506" t="inlineStr">
        <is>
          <t>NIG03</t>
        </is>
      </c>
      <c r="D1506" t="n">
        <v>0.23</v>
      </c>
      <c r="E1506" t="inlineStr">
        <is>
          <t>Operations Finance Associate</t>
        </is>
      </c>
      <c r="F1506">
        <f>SUMIF($A$2:$A$1594,A1506,$D$2:$D$1594)</f>
        <v/>
      </c>
    </row>
    <row r="1507">
      <c r="A1507" t="inlineStr">
        <is>
          <t>Noorzai, Mahmood</t>
        </is>
      </c>
      <c r="B1507" t="inlineStr">
        <is>
          <t>Niger</t>
        </is>
      </c>
      <c r="C1507" t="inlineStr">
        <is>
          <t>NIG05</t>
        </is>
      </c>
      <c r="D1507" t="n">
        <v>0.84</v>
      </c>
      <c r="E1507" t="inlineStr">
        <is>
          <t>Operations Finance Associate</t>
        </is>
      </c>
      <c r="F1507">
        <f>SUMIF($A$2:$A$1594,A1507,$D$2:$D$1594)</f>
        <v/>
      </c>
    </row>
    <row r="1508">
      <c r="A1508" t="inlineStr">
        <is>
          <t>Noorzai, Mahmood</t>
        </is>
      </c>
      <c r="B1508" t="inlineStr">
        <is>
          <t>Niger</t>
        </is>
      </c>
      <c r="C1508" t="inlineStr">
        <is>
          <t>NIG06</t>
        </is>
      </c>
      <c r="D1508" t="n">
        <v>0.17</v>
      </c>
      <c r="E1508" t="inlineStr">
        <is>
          <t>Operations Finance Associate</t>
        </is>
      </c>
      <c r="F1508">
        <f>SUMIF($A$2:$A$1594,A1508,$D$2:$D$1594)</f>
        <v/>
      </c>
    </row>
    <row r="1509">
      <c r="A1509" t="inlineStr">
        <is>
          <t>Noorzai, Mahmood</t>
        </is>
      </c>
      <c r="B1509" t="inlineStr">
        <is>
          <t>Niger</t>
        </is>
      </c>
      <c r="C1509" t="inlineStr">
        <is>
          <t>NIG07</t>
        </is>
      </c>
      <c r="D1509" t="n">
        <v>0.51</v>
      </c>
      <c r="E1509" t="inlineStr">
        <is>
          <t>Operations Finance Associate</t>
        </is>
      </c>
      <c r="F1509">
        <f>SUMIF($A$2:$A$1594,A1509,$D$2:$D$1594)</f>
        <v/>
      </c>
    </row>
    <row r="1510">
      <c r="A1510" t="inlineStr">
        <is>
          <t>Noorzai, Mahmood</t>
        </is>
      </c>
      <c r="B1510" t="inlineStr">
        <is>
          <t>Niger</t>
        </is>
      </c>
      <c r="C1510" t="inlineStr">
        <is>
          <t>NIG09</t>
        </is>
      </c>
      <c r="D1510" t="n">
        <v>0.7</v>
      </c>
      <c r="E1510" t="inlineStr">
        <is>
          <t>Operations Finance Associate</t>
        </is>
      </c>
      <c r="F1510">
        <f>SUMIF($A$2:$A$1594,A1510,$D$2:$D$1594)</f>
        <v/>
      </c>
    </row>
    <row r="1511">
      <c r="A1511" t="inlineStr">
        <is>
          <t>Noorzai, Mahmood</t>
        </is>
      </c>
      <c r="B1511" t="inlineStr">
        <is>
          <t>Niger</t>
        </is>
      </c>
      <c r="C1511" t="inlineStr">
        <is>
          <t>NIG10</t>
        </is>
      </c>
      <c r="D1511" t="n">
        <v>0.22</v>
      </c>
      <c r="E1511" t="inlineStr">
        <is>
          <t>Operations Finance Associate</t>
        </is>
      </c>
      <c r="F1511">
        <f>SUMIF($A$2:$A$1594,A1511,$D$2:$D$1594)</f>
        <v/>
      </c>
    </row>
    <row r="1512">
      <c r="A1512" t="inlineStr">
        <is>
          <t>Friedman, Jonathan</t>
        </is>
      </c>
      <c r="B1512" t="inlineStr">
        <is>
          <t>Nigeria</t>
        </is>
      </c>
      <c r="C1512" t="inlineStr">
        <is>
          <t>NRA01</t>
        </is>
      </c>
      <c r="D1512" t="n">
        <v>0.5</v>
      </c>
      <c r="E1512" t="inlineStr">
        <is>
          <t>AI/ML Lead</t>
        </is>
      </c>
      <c r="F1512">
        <f>SUMIF($A$2:$A$1594,A1512,$D$2:$D$1594)</f>
        <v/>
      </c>
    </row>
    <row r="1513">
      <c r="A1513" t="inlineStr">
        <is>
          <t>Friedman, Jonathan</t>
        </is>
      </c>
      <c r="B1513" t="inlineStr">
        <is>
          <t>Nigeria</t>
        </is>
      </c>
      <c r="C1513" t="inlineStr">
        <is>
          <t>NRA03</t>
        </is>
      </c>
      <c r="D1513" t="n">
        <v>0.5</v>
      </c>
      <c r="E1513" t="inlineStr">
        <is>
          <t>AI/ML Lead</t>
        </is>
      </c>
      <c r="F1513">
        <f>SUMIF($A$2:$A$1594,A1513,$D$2:$D$1594)</f>
        <v/>
      </c>
    </row>
    <row r="1514">
      <c r="A1514" t="inlineStr">
        <is>
          <t>Friedman, Jonathan</t>
        </is>
      </c>
      <c r="B1514" t="inlineStr">
        <is>
          <t>Nigeria</t>
        </is>
      </c>
      <c r="C1514" t="inlineStr">
        <is>
          <t>NRA05</t>
        </is>
      </c>
      <c r="D1514" t="n">
        <v>0.5</v>
      </c>
      <c r="E1514" t="inlineStr">
        <is>
          <t>AI/ML Lead</t>
        </is>
      </c>
      <c r="F1514">
        <f>SUMIF($A$2:$A$1594,A1514,$D$2:$D$1594)</f>
        <v/>
      </c>
    </row>
    <row r="1515">
      <c r="A1515" t="inlineStr">
        <is>
          <t>Friedman, Jonathan</t>
        </is>
      </c>
      <c r="B1515" t="inlineStr">
        <is>
          <t>Nigeria</t>
        </is>
      </c>
      <c r="C1515" t="inlineStr">
        <is>
          <t>NRA07</t>
        </is>
      </c>
      <c r="D1515" t="n">
        <v>0.5</v>
      </c>
      <c r="E1515" t="inlineStr">
        <is>
          <t>AI/ML Lead</t>
        </is>
      </c>
      <c r="F1515">
        <f>SUMIF($A$2:$A$1594,A1515,$D$2:$D$1594)</f>
        <v/>
      </c>
    </row>
    <row r="1516">
      <c r="A1516" t="inlineStr">
        <is>
          <t>Mavyuva, Boniface</t>
        </is>
      </c>
      <c r="B1516" t="inlineStr">
        <is>
          <t>Nigeria</t>
        </is>
      </c>
      <c r="C1516" t="inlineStr">
        <is>
          <t>NRA01</t>
        </is>
      </c>
      <c r="D1516" t="n">
        <v>0.5</v>
      </c>
      <c r="E1516" t="inlineStr">
        <is>
          <t>Dig Infrastructure Lead</t>
        </is>
      </c>
      <c r="F1516">
        <f>SUMIF($A$2:$A$1594,A1516,$D$2:$D$1594)</f>
        <v/>
      </c>
    </row>
    <row r="1517">
      <c r="A1517" t="inlineStr">
        <is>
          <t>Mavyuva, Boniface</t>
        </is>
      </c>
      <c r="B1517" t="inlineStr">
        <is>
          <t>Nigeria</t>
        </is>
      </c>
      <c r="C1517" t="inlineStr">
        <is>
          <t>NRA04</t>
        </is>
      </c>
      <c r="D1517" t="n">
        <v>0.5</v>
      </c>
      <c r="E1517" t="inlineStr">
        <is>
          <t>Dig Infrastructure Lead</t>
        </is>
      </c>
      <c r="F1517">
        <f>SUMIF($A$2:$A$1594,A1517,$D$2:$D$1594)</f>
        <v/>
      </c>
    </row>
    <row r="1518">
      <c r="A1518" t="inlineStr">
        <is>
          <t>Showalter, Caitlin</t>
        </is>
      </c>
      <c r="B1518" t="inlineStr">
        <is>
          <t>Nigeria</t>
        </is>
      </c>
      <c r="C1518" t="inlineStr">
        <is>
          <t>NRA01</t>
        </is>
      </c>
      <c r="D1518" t="n">
        <v>0.5</v>
      </c>
      <c r="E1518" t="inlineStr">
        <is>
          <t>M&amp;E and Learning</t>
        </is>
      </c>
      <c r="F1518">
        <f>SUMIF($A$2:$A$1594,A1518,$D$2:$D$1594)</f>
        <v/>
      </c>
    </row>
    <row r="1519">
      <c r="A1519" t="inlineStr">
        <is>
          <t>Showalter, Caitlin</t>
        </is>
      </c>
      <c r="B1519" t="inlineStr">
        <is>
          <t>Nigeria</t>
        </is>
      </c>
      <c r="C1519" t="inlineStr">
        <is>
          <t>NRA03</t>
        </is>
      </c>
      <c r="D1519" t="n">
        <v>0.5</v>
      </c>
      <c r="E1519" t="inlineStr">
        <is>
          <t>M&amp;E and Learning</t>
        </is>
      </c>
      <c r="F1519">
        <f>SUMIF($A$2:$A$1594,A1519,$D$2:$D$1594)</f>
        <v/>
      </c>
    </row>
    <row r="1520">
      <c r="A1520" t="inlineStr">
        <is>
          <t>Showalter, Caitlin</t>
        </is>
      </c>
      <c r="B1520" t="inlineStr">
        <is>
          <t>Nigeria</t>
        </is>
      </c>
      <c r="C1520" t="inlineStr">
        <is>
          <t>NRA05</t>
        </is>
      </c>
      <c r="D1520" t="n">
        <v>0.5</v>
      </c>
      <c r="E1520" t="inlineStr">
        <is>
          <t>M&amp;E and Learning</t>
        </is>
      </c>
      <c r="F1520">
        <f>SUMIF($A$2:$A$1594,A1520,$D$2:$D$1594)</f>
        <v/>
      </c>
    </row>
    <row r="1521">
      <c r="A1521" t="inlineStr">
        <is>
          <t>Showalter, Caitlin</t>
        </is>
      </c>
      <c r="B1521" t="inlineStr">
        <is>
          <t>Nigeria</t>
        </is>
      </c>
      <c r="C1521" t="inlineStr">
        <is>
          <t>NRA07</t>
        </is>
      </c>
      <c r="D1521" t="n">
        <v>0.5</v>
      </c>
      <c r="E1521" t="inlineStr">
        <is>
          <t>M&amp;E and Learning</t>
        </is>
      </c>
      <c r="F1521">
        <f>SUMIF($A$2:$A$1594,A1521,$D$2:$D$1594)</f>
        <v/>
      </c>
    </row>
    <row r="1522">
      <c r="A1522" t="inlineStr">
        <is>
          <t>Miranda Rondon de Ro, Ing</t>
        </is>
      </c>
      <c r="B1522" t="inlineStr">
        <is>
          <t>Nigeria</t>
        </is>
      </c>
      <c r="C1522" t="inlineStr">
        <is>
          <t>NRA01</t>
        </is>
      </c>
      <c r="D1522" t="n">
        <v>0.5</v>
      </c>
      <c r="E1522" t="inlineStr">
        <is>
          <t>M&amp;E and Learning</t>
        </is>
      </c>
      <c r="F1522">
        <f>SUMIF($A$2:$A$1594,A1522,$D$2:$D$1594)</f>
        <v/>
      </c>
    </row>
    <row r="1523">
      <c r="A1523" t="inlineStr">
        <is>
          <t>Miranda Rondon de Ro, Ing</t>
        </is>
      </c>
      <c r="B1523" t="inlineStr">
        <is>
          <t>Nigeria</t>
        </is>
      </c>
      <c r="C1523" t="inlineStr">
        <is>
          <t>NRA03</t>
        </is>
      </c>
      <c r="D1523" t="n">
        <v>0.5</v>
      </c>
      <c r="E1523" t="inlineStr">
        <is>
          <t>M&amp;E and Learning</t>
        </is>
      </c>
      <c r="F1523">
        <f>SUMIF($A$2:$A$1594,A1523,$D$2:$D$1594)</f>
        <v/>
      </c>
    </row>
    <row r="1524">
      <c r="A1524" t="inlineStr">
        <is>
          <t>Miranda Rondon de Ro, Ing</t>
        </is>
      </c>
      <c r="B1524" t="inlineStr">
        <is>
          <t>Nigeria</t>
        </is>
      </c>
      <c r="C1524" t="inlineStr">
        <is>
          <t>NRA05</t>
        </is>
      </c>
      <c r="D1524" t="n">
        <v>0.5</v>
      </c>
      <c r="E1524" t="inlineStr">
        <is>
          <t>M&amp;E and Learning</t>
        </is>
      </c>
      <c r="F1524">
        <f>SUMIF($A$2:$A$1594,A1524,$D$2:$D$1594)</f>
        <v/>
      </c>
    </row>
    <row r="1525">
      <c r="A1525" t="inlineStr">
        <is>
          <t>Miranda Rondon de Ro, Ing</t>
        </is>
      </c>
      <c r="B1525" t="inlineStr">
        <is>
          <t>Nigeria</t>
        </is>
      </c>
      <c r="C1525" t="inlineStr">
        <is>
          <t>NRA07</t>
        </is>
      </c>
      <c r="D1525" t="n">
        <v>0.5</v>
      </c>
      <c r="E1525" t="inlineStr">
        <is>
          <t>M&amp;E and Learning</t>
        </is>
      </c>
      <c r="F1525">
        <f>SUMIF($A$2:$A$1594,A1525,$D$2:$D$1594)</f>
        <v/>
      </c>
    </row>
    <row r="1526">
      <c r="A1526" t="inlineStr">
        <is>
          <t>Sakaguchi, Kevin</t>
        </is>
      </c>
      <c r="B1526" t="inlineStr">
        <is>
          <t>Nigeria</t>
        </is>
      </c>
      <c r="C1526" t="inlineStr">
        <is>
          <t>NRA01</t>
        </is>
      </c>
      <c r="D1526" t="n">
        <v>0.5</v>
      </c>
      <c r="E1526" t="inlineStr">
        <is>
          <t>M&amp;E and Learning</t>
        </is>
      </c>
      <c r="F1526">
        <f>SUMIF($A$2:$A$1594,A1526,$D$2:$D$1594)</f>
        <v/>
      </c>
    </row>
    <row r="1527">
      <c r="A1527" t="inlineStr">
        <is>
          <t>Sakaguchi, Kevin</t>
        </is>
      </c>
      <c r="B1527" t="inlineStr">
        <is>
          <t>Nigeria</t>
        </is>
      </c>
      <c r="C1527" t="inlineStr">
        <is>
          <t>NRA03</t>
        </is>
      </c>
      <c r="D1527" t="n">
        <v>0.5</v>
      </c>
      <c r="E1527" t="inlineStr">
        <is>
          <t>M&amp;E and Learning</t>
        </is>
      </c>
      <c r="F1527">
        <f>SUMIF($A$2:$A$1594,A1527,$D$2:$D$1594)</f>
        <v/>
      </c>
    </row>
    <row r="1528">
      <c r="A1528" t="inlineStr">
        <is>
          <t>Sakaguchi, Kevin</t>
        </is>
      </c>
      <c r="B1528" t="inlineStr">
        <is>
          <t>Nigeria</t>
        </is>
      </c>
      <c r="C1528" t="inlineStr">
        <is>
          <t>NRA05</t>
        </is>
      </c>
      <c r="D1528" t="n">
        <v>0.5</v>
      </c>
      <c r="E1528" t="inlineStr">
        <is>
          <t>M&amp;E and Learning</t>
        </is>
      </c>
      <c r="F1528">
        <f>SUMIF($A$2:$A$1594,A1528,$D$2:$D$1594)</f>
        <v/>
      </c>
    </row>
    <row r="1529">
      <c r="A1529" t="inlineStr">
        <is>
          <t>Sakaguchi, Kevin</t>
        </is>
      </c>
      <c r="B1529" t="inlineStr">
        <is>
          <t>Nigeria</t>
        </is>
      </c>
      <c r="C1529" t="inlineStr">
        <is>
          <t>NRA07</t>
        </is>
      </c>
      <c r="D1529" t="n">
        <v>0.5</v>
      </c>
      <c r="E1529" t="inlineStr">
        <is>
          <t>M&amp;E and Learning</t>
        </is>
      </c>
      <c r="F1529">
        <f>SUMIF($A$2:$A$1594,A1529,$D$2:$D$1594)</f>
        <v/>
      </c>
    </row>
    <row r="1530">
      <c r="A1530" t="inlineStr">
        <is>
          <t>Claussen, Laurence</t>
        </is>
      </c>
      <c r="B1530" t="inlineStr">
        <is>
          <t>Nigeria</t>
        </is>
      </c>
      <c r="C1530" t="inlineStr">
        <is>
          <t>NRA01</t>
        </is>
      </c>
      <c r="D1530" t="n">
        <v>0.5</v>
      </c>
      <c r="E1530" t="inlineStr">
        <is>
          <t>Comms Manager</t>
        </is>
      </c>
      <c r="F1530">
        <f>SUMIF($A$2:$A$1594,A1530,$D$2:$D$1594)</f>
        <v/>
      </c>
    </row>
    <row r="1531">
      <c r="A1531" t="inlineStr">
        <is>
          <t>Claussen, Laurence</t>
        </is>
      </c>
      <c r="B1531" t="inlineStr">
        <is>
          <t>Nigeria</t>
        </is>
      </c>
      <c r="C1531" t="inlineStr">
        <is>
          <t>NRA03</t>
        </is>
      </c>
      <c r="D1531" t="n">
        <v>0.5</v>
      </c>
      <c r="E1531" t="inlineStr">
        <is>
          <t>Comms Manager</t>
        </is>
      </c>
      <c r="F1531">
        <f>SUMIF($A$2:$A$1594,A1531,$D$2:$D$1594)</f>
        <v/>
      </c>
    </row>
    <row r="1532">
      <c r="A1532" t="inlineStr">
        <is>
          <t>Claussen, Laurence</t>
        </is>
      </c>
      <c r="B1532" t="inlineStr">
        <is>
          <t>Nigeria</t>
        </is>
      </c>
      <c r="C1532" t="inlineStr">
        <is>
          <t>NRA05</t>
        </is>
      </c>
      <c r="D1532" t="n">
        <v>0.5</v>
      </c>
      <c r="E1532" t="inlineStr">
        <is>
          <t>Comms Manager</t>
        </is>
      </c>
      <c r="F1532">
        <f>SUMIF($A$2:$A$1594,A1532,$D$2:$D$1594)</f>
        <v/>
      </c>
    </row>
    <row r="1533">
      <c r="A1533" t="inlineStr">
        <is>
          <t>Claussen, Laurence</t>
        </is>
      </c>
      <c r="B1533" t="inlineStr">
        <is>
          <t>Nigeria</t>
        </is>
      </c>
      <c r="C1533" t="inlineStr">
        <is>
          <t>NRA07</t>
        </is>
      </c>
      <c r="D1533" t="n">
        <v>0.5</v>
      </c>
      <c r="E1533" t="inlineStr">
        <is>
          <t>Comms Manager</t>
        </is>
      </c>
      <c r="F1533">
        <f>SUMIF($A$2:$A$1594,A1533,$D$2:$D$1594)</f>
        <v/>
      </c>
    </row>
    <row r="1534">
      <c r="A1534" t="inlineStr">
        <is>
          <t>Hunihan, Anne</t>
        </is>
      </c>
      <c r="B1534" t="inlineStr">
        <is>
          <t>Nigeria</t>
        </is>
      </c>
      <c r="C1534" t="inlineStr">
        <is>
          <t>NRA01</t>
        </is>
      </c>
      <c r="D1534" t="n">
        <v>2</v>
      </c>
      <c r="E1534" t="inlineStr">
        <is>
          <t>Associate Pool</t>
        </is>
      </c>
      <c r="F1534">
        <f>SUMIF($A$2:$A$1594,A1534,$D$2:$D$1594)</f>
        <v/>
      </c>
    </row>
    <row r="1535">
      <c r="A1535" t="inlineStr">
        <is>
          <t>Hunihan, Anne</t>
        </is>
      </c>
      <c r="B1535" t="inlineStr">
        <is>
          <t>Nigeria</t>
        </is>
      </c>
      <c r="C1535" t="inlineStr">
        <is>
          <t>NRA02</t>
        </is>
      </c>
      <c r="D1535" t="n">
        <v>2</v>
      </c>
      <c r="E1535" t="inlineStr">
        <is>
          <t>Associate Pool</t>
        </is>
      </c>
      <c r="F1535">
        <f>SUMIF($A$2:$A$1594,A1535,$D$2:$D$1594)</f>
        <v/>
      </c>
    </row>
    <row r="1536">
      <c r="A1536" t="inlineStr">
        <is>
          <t>Hunihan, Anne</t>
        </is>
      </c>
      <c r="B1536" t="inlineStr">
        <is>
          <t>Nigeria</t>
        </is>
      </c>
      <c r="C1536" t="inlineStr">
        <is>
          <t>NRA03</t>
        </is>
      </c>
      <c r="D1536" t="n">
        <v>2</v>
      </c>
      <c r="E1536" t="inlineStr">
        <is>
          <t>Associate Pool</t>
        </is>
      </c>
      <c r="F1536">
        <f>SUMIF($A$2:$A$1594,A1536,$D$2:$D$1594)</f>
        <v/>
      </c>
    </row>
    <row r="1537">
      <c r="A1537" t="inlineStr">
        <is>
          <t>Hunihan, Anne</t>
        </is>
      </c>
      <c r="B1537" t="inlineStr">
        <is>
          <t>Nigeria</t>
        </is>
      </c>
      <c r="C1537" t="inlineStr">
        <is>
          <t>NRA04</t>
        </is>
      </c>
      <c r="D1537" t="n">
        <v>3</v>
      </c>
      <c r="E1537" t="inlineStr">
        <is>
          <t>Associate Pool</t>
        </is>
      </c>
      <c r="F1537">
        <f>SUMIF($A$2:$A$1594,A1537,$D$2:$D$1594)</f>
        <v/>
      </c>
    </row>
    <row r="1538">
      <c r="A1538" t="inlineStr">
        <is>
          <t>Hunihan, Anne</t>
        </is>
      </c>
      <c r="B1538" t="inlineStr">
        <is>
          <t>Nigeria</t>
        </is>
      </c>
      <c r="C1538" t="inlineStr">
        <is>
          <t>NRA05</t>
        </is>
      </c>
      <c r="D1538" t="n">
        <v>3</v>
      </c>
      <c r="E1538" t="inlineStr">
        <is>
          <t>Associate Pool</t>
        </is>
      </c>
      <c r="F1538">
        <f>SUMIF($A$2:$A$1594,A1538,$D$2:$D$1594)</f>
        <v/>
      </c>
    </row>
    <row r="1539">
      <c r="A1539" t="inlineStr">
        <is>
          <t>Hunihan, Anne</t>
        </is>
      </c>
      <c r="B1539" t="inlineStr">
        <is>
          <t>Nigeria</t>
        </is>
      </c>
      <c r="C1539" t="inlineStr">
        <is>
          <t>NRA06</t>
        </is>
      </c>
      <c r="D1539" t="n">
        <v>3</v>
      </c>
      <c r="E1539" t="inlineStr">
        <is>
          <t>Associate Pool</t>
        </is>
      </c>
      <c r="F1539">
        <f>SUMIF($A$2:$A$1594,A1539,$D$2:$D$1594)</f>
        <v/>
      </c>
    </row>
    <row r="1540">
      <c r="A1540" t="inlineStr">
        <is>
          <t>Hunihan, Anne</t>
        </is>
      </c>
      <c r="B1540" t="inlineStr">
        <is>
          <t>Nigeria</t>
        </is>
      </c>
      <c r="C1540" t="inlineStr">
        <is>
          <t>NRA07</t>
        </is>
      </c>
      <c r="D1540" t="n">
        <v>3</v>
      </c>
      <c r="E1540" t="inlineStr">
        <is>
          <t>Associate Pool</t>
        </is>
      </c>
      <c r="F1540">
        <f>SUMIF($A$2:$A$1594,A1540,$D$2:$D$1594)</f>
        <v/>
      </c>
    </row>
    <row r="1541">
      <c r="A1541" t="inlineStr">
        <is>
          <t>Hunihan, Anne</t>
        </is>
      </c>
      <c r="B1541" t="inlineStr">
        <is>
          <t>Nigeria</t>
        </is>
      </c>
      <c r="C1541" t="inlineStr">
        <is>
          <t>NRA08</t>
        </is>
      </c>
      <c r="D1541" t="n">
        <v>3</v>
      </c>
      <c r="E1541" t="inlineStr">
        <is>
          <t>Associate Pool</t>
        </is>
      </c>
      <c r="F1541">
        <f>SUMIF($A$2:$A$1594,A1541,$D$2:$D$1594)</f>
        <v/>
      </c>
    </row>
    <row r="1542">
      <c r="A1542" t="inlineStr">
        <is>
          <t>Hunihan, Anne</t>
        </is>
      </c>
      <c r="B1542" t="inlineStr">
        <is>
          <t>Nigeria</t>
        </is>
      </c>
      <c r="C1542" t="inlineStr">
        <is>
          <t>NRA09</t>
        </is>
      </c>
      <c r="D1542" t="n">
        <v>3</v>
      </c>
      <c r="E1542" t="inlineStr">
        <is>
          <t>Associate Pool</t>
        </is>
      </c>
      <c r="F1542">
        <f>SUMIF($A$2:$A$1594,A1542,$D$2:$D$1594)</f>
        <v/>
      </c>
    </row>
    <row r="1543">
      <c r="A1543" t="inlineStr">
        <is>
          <t>Hunihan, Anne</t>
        </is>
      </c>
      <c r="B1543" t="inlineStr">
        <is>
          <t>Nigeria</t>
        </is>
      </c>
      <c r="C1543" t="inlineStr">
        <is>
          <t>NRA10</t>
        </is>
      </c>
      <c r="D1543" t="n">
        <v>3</v>
      </c>
      <c r="E1543" t="inlineStr">
        <is>
          <t>Associate Pool</t>
        </is>
      </c>
      <c r="F1543">
        <f>SUMIF($A$2:$A$1594,A1543,$D$2:$D$1594)</f>
        <v/>
      </c>
    </row>
    <row r="1544">
      <c r="A1544" t="inlineStr">
        <is>
          <t>Hunihan, Anne</t>
        </is>
      </c>
      <c r="B1544" t="inlineStr">
        <is>
          <t>Nigeria</t>
        </is>
      </c>
      <c r="C1544" t="inlineStr">
        <is>
          <t>NRA11</t>
        </is>
      </c>
      <c r="D1544" t="n">
        <v>3</v>
      </c>
      <c r="E1544" t="inlineStr">
        <is>
          <t>Associate Pool</t>
        </is>
      </c>
      <c r="F1544">
        <f>SUMIF($A$2:$A$1594,A1544,$D$2:$D$1594)</f>
        <v/>
      </c>
    </row>
    <row r="1545">
      <c r="A1545" t="inlineStr">
        <is>
          <t>Hunihan, Anne</t>
        </is>
      </c>
      <c r="B1545" t="inlineStr">
        <is>
          <t>Nigeria</t>
        </is>
      </c>
      <c r="C1545" t="inlineStr">
        <is>
          <t>NRA12</t>
        </is>
      </c>
      <c r="D1545" t="n">
        <v>3</v>
      </c>
      <c r="E1545" t="inlineStr">
        <is>
          <t>Associate Pool</t>
        </is>
      </c>
      <c r="F1545">
        <f>SUMIF($A$2:$A$1594,A1545,$D$2:$D$1594)</f>
        <v/>
      </c>
    </row>
    <row r="1546">
      <c r="A1546" t="inlineStr">
        <is>
          <t>Mathias, John</t>
        </is>
      </c>
      <c r="B1546" t="inlineStr">
        <is>
          <t>Nigeria</t>
        </is>
      </c>
      <c r="C1546" t="inlineStr">
        <is>
          <t>NRA01</t>
        </is>
      </c>
      <c r="D1546" t="n">
        <v>0.5</v>
      </c>
      <c r="E1546" t="inlineStr">
        <is>
          <t>Operations Director</t>
        </is>
      </c>
      <c r="F1546">
        <f>SUMIF($A$2:$A$1594,A1546,$D$2:$D$1594)</f>
        <v/>
      </c>
    </row>
    <row r="1547">
      <c r="A1547" t="inlineStr">
        <is>
          <t>Mathias, John</t>
        </is>
      </c>
      <c r="B1547" t="inlineStr">
        <is>
          <t>Nigeria</t>
        </is>
      </c>
      <c r="C1547" t="inlineStr">
        <is>
          <t>NRA03</t>
        </is>
      </c>
      <c r="D1547" t="n">
        <v>0.5</v>
      </c>
      <c r="E1547" t="inlineStr">
        <is>
          <t>Operations Director</t>
        </is>
      </c>
      <c r="F1547">
        <f>SUMIF($A$2:$A$1594,A1547,$D$2:$D$1594)</f>
        <v/>
      </c>
    </row>
    <row r="1548">
      <c r="A1548" t="inlineStr">
        <is>
          <t>Mathias, John</t>
        </is>
      </c>
      <c r="B1548" t="inlineStr">
        <is>
          <t>Nigeria</t>
        </is>
      </c>
      <c r="C1548" t="inlineStr">
        <is>
          <t>NRA05</t>
        </is>
      </c>
      <c r="D1548" t="n">
        <v>0.5</v>
      </c>
      <c r="E1548" t="inlineStr">
        <is>
          <t>Operations Director</t>
        </is>
      </c>
      <c r="F1548">
        <f>SUMIF($A$2:$A$1594,A1548,$D$2:$D$1594)</f>
        <v/>
      </c>
    </row>
    <row r="1549">
      <c r="A1549" t="inlineStr">
        <is>
          <t>Mathias, John</t>
        </is>
      </c>
      <c r="B1549" t="inlineStr">
        <is>
          <t>Nigeria</t>
        </is>
      </c>
      <c r="C1549" t="inlineStr">
        <is>
          <t>NRA07</t>
        </is>
      </c>
      <c r="D1549" t="n">
        <v>0.5</v>
      </c>
      <c r="E1549" t="inlineStr">
        <is>
          <t>Operations Director</t>
        </is>
      </c>
      <c r="F1549">
        <f>SUMIF($A$2:$A$1594,A1549,$D$2:$D$1594)</f>
        <v/>
      </c>
    </row>
    <row r="1550">
      <c r="A1550" t="inlineStr">
        <is>
          <t>Misomali, Mark</t>
        </is>
      </c>
      <c r="B1550" t="inlineStr">
        <is>
          <t>Nigeria</t>
        </is>
      </c>
      <c r="C1550" t="inlineStr">
        <is>
          <t>NRA01</t>
        </is>
      </c>
      <c r="D1550" t="n">
        <v>0.5</v>
      </c>
      <c r="E1550" t="inlineStr">
        <is>
          <t xml:space="preserve">Operations Sr Finance Manager   </t>
        </is>
      </c>
      <c r="F1550">
        <f>SUMIF($A$2:$A$1594,A1550,$D$2:$D$1594)</f>
        <v/>
      </c>
    </row>
    <row r="1551">
      <c r="A1551" t="inlineStr">
        <is>
          <t>Misomali, Mark</t>
        </is>
      </c>
      <c r="B1551" t="inlineStr">
        <is>
          <t>Nigeria</t>
        </is>
      </c>
      <c r="C1551" t="inlineStr">
        <is>
          <t>NRA03</t>
        </is>
      </c>
      <c r="D1551" t="n">
        <v>0.5</v>
      </c>
      <c r="E1551" t="inlineStr">
        <is>
          <t xml:space="preserve">Operations Sr Finance Manager   </t>
        </is>
      </c>
      <c r="F1551">
        <f>SUMIF($A$2:$A$1594,A1551,$D$2:$D$1594)</f>
        <v/>
      </c>
    </row>
    <row r="1552">
      <c r="A1552" t="inlineStr">
        <is>
          <t>Misomali, Mark</t>
        </is>
      </c>
      <c r="B1552" t="inlineStr">
        <is>
          <t>Nigeria</t>
        </is>
      </c>
      <c r="C1552" t="inlineStr">
        <is>
          <t>NRA05</t>
        </is>
      </c>
      <c r="D1552" t="n">
        <v>0.5</v>
      </c>
      <c r="E1552" t="inlineStr">
        <is>
          <t xml:space="preserve">Operations Sr Finance Manager   </t>
        </is>
      </c>
      <c r="F1552">
        <f>SUMIF($A$2:$A$1594,A1552,$D$2:$D$1594)</f>
        <v/>
      </c>
    </row>
    <row r="1553">
      <c r="A1553" t="inlineStr">
        <is>
          <t>Misomali, Mark</t>
        </is>
      </c>
      <c r="B1553" t="inlineStr">
        <is>
          <t>Nigeria</t>
        </is>
      </c>
      <c r="C1553" t="inlineStr">
        <is>
          <t>NRA07</t>
        </is>
      </c>
      <c r="D1553" t="n">
        <v>0.5</v>
      </c>
      <c r="E1553" t="inlineStr">
        <is>
          <t xml:space="preserve">Operations Sr Finance Manager   </t>
        </is>
      </c>
      <c r="F1553">
        <f>SUMIF($A$2:$A$1594,A1553,$D$2:$D$1594)</f>
        <v/>
      </c>
    </row>
    <row r="1554">
      <c r="A1554" t="inlineStr">
        <is>
          <t>Noorzai, Mahmood</t>
        </is>
      </c>
      <c r="B1554" t="inlineStr">
        <is>
          <t>Nigeria</t>
        </is>
      </c>
      <c r="C1554" t="inlineStr">
        <is>
          <t>NRA01</t>
        </is>
      </c>
      <c r="D1554" t="n">
        <v>0.5</v>
      </c>
      <c r="E1554" t="inlineStr">
        <is>
          <t>Operations Finance Associate</t>
        </is>
      </c>
      <c r="F1554">
        <f>SUMIF($A$2:$A$1594,A1554,$D$2:$D$1594)</f>
        <v/>
      </c>
    </row>
    <row r="1555">
      <c r="A1555" t="inlineStr">
        <is>
          <t>Noorzai, Mahmood</t>
        </is>
      </c>
      <c r="B1555" t="inlineStr">
        <is>
          <t>Nigeria</t>
        </is>
      </c>
      <c r="C1555" t="inlineStr">
        <is>
          <t>NRA03</t>
        </is>
      </c>
      <c r="D1555" t="n">
        <v>0.5</v>
      </c>
      <c r="E1555" t="inlineStr">
        <is>
          <t>Operations Finance Associate</t>
        </is>
      </c>
      <c r="F1555">
        <f>SUMIF($A$2:$A$1594,A1555,$D$2:$D$1594)</f>
        <v/>
      </c>
    </row>
    <row r="1556">
      <c r="A1556" t="inlineStr">
        <is>
          <t>Noorzai, Mahmood</t>
        </is>
      </c>
      <c r="B1556" t="inlineStr">
        <is>
          <t>Nigeria</t>
        </is>
      </c>
      <c r="C1556" t="inlineStr">
        <is>
          <t>NRA05</t>
        </is>
      </c>
      <c r="D1556" t="n">
        <v>0.5</v>
      </c>
      <c r="E1556" t="inlineStr">
        <is>
          <t>Operations Finance Associate</t>
        </is>
      </c>
      <c r="F1556">
        <f>SUMIF($A$2:$A$1594,A1556,$D$2:$D$1594)</f>
        <v/>
      </c>
    </row>
    <row r="1557">
      <c r="A1557" t="inlineStr">
        <is>
          <t>Noorzai, Mahmood</t>
        </is>
      </c>
      <c r="B1557" t="inlineStr">
        <is>
          <t>Nigeria</t>
        </is>
      </c>
      <c r="C1557" t="inlineStr">
        <is>
          <t>NRA07</t>
        </is>
      </c>
      <c r="D1557" t="n">
        <v>0.5</v>
      </c>
      <c r="E1557" t="inlineStr">
        <is>
          <t>Operations Finance Associate</t>
        </is>
      </c>
      <c r="F1557">
        <f>SUMIF($A$2:$A$1594,A1557,$D$2:$D$1594)</f>
        <v/>
      </c>
    </row>
    <row r="1558">
      <c r="A1558" t="inlineStr">
        <is>
          <t>Nabeel, Shayan</t>
        </is>
      </c>
      <c r="B1558" t="inlineStr">
        <is>
          <t>Nigeria</t>
        </is>
      </c>
      <c r="C1558" t="inlineStr">
        <is>
          <t>NRA01</t>
        </is>
      </c>
      <c r="D1558" t="n">
        <v>2</v>
      </c>
      <c r="E1558" t="inlineStr">
        <is>
          <t>Operations Manager level - 16</t>
        </is>
      </c>
      <c r="F1558">
        <f>SUMIF($A$2:$A$1594,A1558,$D$2:$D$1594)</f>
        <v/>
      </c>
    </row>
    <row r="1559">
      <c r="A1559" t="inlineStr">
        <is>
          <t>Nabeel, Shayan</t>
        </is>
      </c>
      <c r="B1559" t="inlineStr">
        <is>
          <t>Nigeria</t>
        </is>
      </c>
      <c r="C1559" t="inlineStr">
        <is>
          <t>NRA02</t>
        </is>
      </c>
      <c r="D1559" t="n">
        <v>2</v>
      </c>
      <c r="E1559" t="inlineStr">
        <is>
          <t>Operations Manager level - 16</t>
        </is>
      </c>
      <c r="F1559">
        <f>SUMIF($A$2:$A$1594,A1559,$D$2:$D$1594)</f>
        <v/>
      </c>
    </row>
    <row r="1560">
      <c r="A1560" t="inlineStr">
        <is>
          <t>Nabeel, Shayan</t>
        </is>
      </c>
      <c r="B1560" t="inlineStr">
        <is>
          <t>Nigeria</t>
        </is>
      </c>
      <c r="C1560" t="inlineStr">
        <is>
          <t>NRA03</t>
        </is>
      </c>
      <c r="D1560" t="n">
        <v>2</v>
      </c>
      <c r="E1560" t="inlineStr">
        <is>
          <t>Operations Manager level - 16</t>
        </is>
      </c>
      <c r="F1560">
        <f>SUMIF($A$2:$A$1594,A1560,$D$2:$D$1594)</f>
        <v/>
      </c>
    </row>
    <row r="1561">
      <c r="A1561" t="inlineStr">
        <is>
          <t>Nabeel, Shayan</t>
        </is>
      </c>
      <c r="B1561" t="inlineStr">
        <is>
          <t>Nigeria</t>
        </is>
      </c>
      <c r="C1561" t="inlineStr">
        <is>
          <t>NRA04</t>
        </is>
      </c>
      <c r="D1561" t="n">
        <v>3</v>
      </c>
      <c r="E1561" t="inlineStr">
        <is>
          <t>Operations Manager level - 16</t>
        </is>
      </c>
      <c r="F1561">
        <f>SUMIF($A$2:$A$1594,A1561,$D$2:$D$1594)</f>
        <v/>
      </c>
    </row>
    <row r="1562">
      <c r="A1562" t="inlineStr">
        <is>
          <t>Nabeel, Shayan</t>
        </is>
      </c>
      <c r="B1562" t="inlineStr">
        <is>
          <t>Nigeria</t>
        </is>
      </c>
      <c r="C1562" t="inlineStr">
        <is>
          <t>NRA05</t>
        </is>
      </c>
      <c r="D1562" t="n">
        <v>3</v>
      </c>
      <c r="E1562" t="inlineStr">
        <is>
          <t>Operations Manager level - 16</t>
        </is>
      </c>
      <c r="F1562">
        <f>SUMIF($A$2:$A$1594,A1562,$D$2:$D$1594)</f>
        <v/>
      </c>
    </row>
    <row r="1563">
      <c r="A1563" t="inlineStr">
        <is>
          <t>Nabeel, Shayan</t>
        </is>
      </c>
      <c r="B1563" t="inlineStr">
        <is>
          <t>Nigeria</t>
        </is>
      </c>
      <c r="C1563" t="inlineStr">
        <is>
          <t>NRA06</t>
        </is>
      </c>
      <c r="D1563" t="n">
        <v>3</v>
      </c>
      <c r="E1563" t="inlineStr">
        <is>
          <t>Operations Manager level - 16</t>
        </is>
      </c>
      <c r="F1563">
        <f>SUMIF($A$2:$A$1594,A1563,$D$2:$D$1594)</f>
        <v/>
      </c>
    </row>
    <row r="1564">
      <c r="A1564" t="inlineStr">
        <is>
          <t>Nabeel, Shayan</t>
        </is>
      </c>
      <c r="B1564" t="inlineStr">
        <is>
          <t>Nigeria</t>
        </is>
      </c>
      <c r="C1564" t="inlineStr">
        <is>
          <t>NRA07</t>
        </is>
      </c>
      <c r="D1564" t="n">
        <v>3</v>
      </c>
      <c r="E1564" t="inlineStr">
        <is>
          <t>Operations Manager level - 16</t>
        </is>
      </c>
      <c r="F1564">
        <f>SUMIF($A$2:$A$1594,A1564,$D$2:$D$1594)</f>
        <v/>
      </c>
    </row>
    <row r="1565">
      <c r="A1565" t="inlineStr">
        <is>
          <t>Nabeel, Shayan</t>
        </is>
      </c>
      <c r="B1565" t="inlineStr">
        <is>
          <t>Nigeria</t>
        </is>
      </c>
      <c r="C1565" t="inlineStr">
        <is>
          <t>NRA08</t>
        </is>
      </c>
      <c r="D1565" t="n">
        <v>3</v>
      </c>
      <c r="E1565" t="inlineStr">
        <is>
          <t>Operations Manager level - 16</t>
        </is>
      </c>
      <c r="F1565">
        <f>SUMIF($A$2:$A$1594,A1565,$D$2:$D$1594)</f>
        <v/>
      </c>
    </row>
    <row r="1566">
      <c r="A1566" t="inlineStr">
        <is>
          <t>Nabeel, Shayan</t>
        </is>
      </c>
      <c r="B1566" t="inlineStr">
        <is>
          <t>Nigeria</t>
        </is>
      </c>
      <c r="C1566" t="inlineStr">
        <is>
          <t>NRA09</t>
        </is>
      </c>
      <c r="D1566" t="n">
        <v>3</v>
      </c>
      <c r="E1566" t="inlineStr">
        <is>
          <t>Operations Manager level - 16</t>
        </is>
      </c>
      <c r="F1566">
        <f>SUMIF($A$2:$A$1594,A1566,$D$2:$D$1594)</f>
        <v/>
      </c>
    </row>
    <row r="1567">
      <c r="A1567" t="inlineStr">
        <is>
          <t>Nabeel, Shayan</t>
        </is>
      </c>
      <c r="B1567" t="inlineStr">
        <is>
          <t>Nigeria</t>
        </is>
      </c>
      <c r="C1567" t="inlineStr">
        <is>
          <t>NRA10</t>
        </is>
      </c>
      <c r="D1567" t="n">
        <v>3</v>
      </c>
      <c r="E1567" t="inlineStr">
        <is>
          <t>Operations Manager level - 16</t>
        </is>
      </c>
      <c r="F1567">
        <f>SUMIF($A$2:$A$1594,A1567,$D$2:$D$1594)</f>
        <v/>
      </c>
    </row>
    <row r="1568">
      <c r="A1568" t="inlineStr">
        <is>
          <t>Nabeel, Shayan</t>
        </is>
      </c>
      <c r="B1568" t="inlineStr">
        <is>
          <t>Nigeria</t>
        </is>
      </c>
      <c r="C1568" t="inlineStr">
        <is>
          <t>NRA11</t>
        </is>
      </c>
      <c r="D1568" t="n">
        <v>3</v>
      </c>
      <c r="E1568" t="inlineStr">
        <is>
          <t>Operations Manager level - 16</t>
        </is>
      </c>
      <c r="F1568">
        <f>SUMIF($A$2:$A$1594,A1568,$D$2:$D$1594)</f>
        <v/>
      </c>
    </row>
    <row r="1569">
      <c r="A1569" t="inlineStr">
        <is>
          <t>Nabeel, Shayan</t>
        </is>
      </c>
      <c r="B1569" t="inlineStr">
        <is>
          <t>Nigeria</t>
        </is>
      </c>
      <c r="C1569" t="inlineStr">
        <is>
          <t>NRA12</t>
        </is>
      </c>
      <c r="D1569" t="n">
        <v>3</v>
      </c>
      <c r="E1569" t="inlineStr">
        <is>
          <t>Operations Manager level - 16</t>
        </is>
      </c>
      <c r="F1569">
        <f>SUMIF($A$2:$A$1594,A1569,$D$2:$D$1594)</f>
        <v/>
      </c>
    </row>
    <row r="1570">
      <c r="A1570" t="inlineStr">
        <is>
          <t>Sharma, Suneeta</t>
        </is>
      </c>
      <c r="B1570" t="inlineStr">
        <is>
          <t>Sierra Leone</t>
        </is>
      </c>
      <c r="C1570" t="inlineStr">
        <is>
          <t>SIL01</t>
        </is>
      </c>
      <c r="D1570" t="n">
        <v>8.640000000000001</v>
      </c>
      <c r="E1570" t="inlineStr">
        <is>
          <t>Objective 4 Co-Lead - 50% across T1.5, SL</t>
        </is>
      </c>
      <c r="F1570">
        <f>SUMIF($A$2:$A$1594,A1570,$D$2:$D$1594)</f>
        <v/>
      </c>
    </row>
    <row r="1571">
      <c r="A1571" t="inlineStr">
        <is>
          <t>Sharma, Suneeta</t>
        </is>
      </c>
      <c r="B1571" t="inlineStr">
        <is>
          <t>Sierra Leone</t>
        </is>
      </c>
      <c r="C1571" t="inlineStr">
        <is>
          <t>SIL02</t>
        </is>
      </c>
      <c r="D1571" t="n">
        <v>8.640000000000001</v>
      </c>
      <c r="E1571" t="inlineStr">
        <is>
          <t>Objective 4 Co-Lead - 50% across T1.5, SL</t>
        </is>
      </c>
      <c r="F1571">
        <f>SUMIF($A$2:$A$1594,A1571,$D$2:$D$1594)</f>
        <v/>
      </c>
    </row>
    <row r="1572">
      <c r="A1572" t="inlineStr">
        <is>
          <t>Sharma, Suneeta</t>
        </is>
      </c>
      <c r="B1572" t="inlineStr">
        <is>
          <t>Sierra Leone</t>
        </is>
      </c>
      <c r="C1572" t="inlineStr">
        <is>
          <t>SIL03</t>
        </is>
      </c>
      <c r="D1572" t="n">
        <v>8.65</v>
      </c>
      <c r="E1572" t="inlineStr">
        <is>
          <t>Objective 4 Co-Lead - 50% across T1.5, SL</t>
        </is>
      </c>
      <c r="F1572">
        <f>SUMIF($A$2:$A$1594,A1572,$D$2:$D$1594)</f>
        <v/>
      </c>
    </row>
    <row r="1573">
      <c r="A1573" t="inlineStr">
        <is>
          <t>Friedman, Jonathan</t>
        </is>
      </c>
      <c r="B1573" t="inlineStr">
        <is>
          <t>Sierra Leone</t>
        </is>
      </c>
      <c r="C1573" t="inlineStr">
        <is>
          <t>SIL01</t>
        </is>
      </c>
      <c r="D1573" t="n">
        <v>0.5</v>
      </c>
      <c r="E1573" t="inlineStr">
        <is>
          <t>AI/ML Lead</t>
        </is>
      </c>
      <c r="F1573">
        <f>SUMIF($A$2:$A$1594,A1573,$D$2:$D$1594)</f>
        <v/>
      </c>
    </row>
    <row r="1574">
      <c r="A1574" t="inlineStr">
        <is>
          <t>Friedman, Jonathan</t>
        </is>
      </c>
      <c r="B1574" t="inlineStr">
        <is>
          <t>Sierra Leone</t>
        </is>
      </c>
      <c r="C1574" t="inlineStr">
        <is>
          <t>SIL02</t>
        </is>
      </c>
      <c r="D1574" t="n">
        <v>1</v>
      </c>
      <c r="E1574" t="inlineStr">
        <is>
          <t>AI/ML Lead</t>
        </is>
      </c>
      <c r="F1574">
        <f>SUMIF($A$2:$A$1594,A1574,$D$2:$D$1594)</f>
        <v/>
      </c>
    </row>
    <row r="1575">
      <c r="A1575" t="inlineStr">
        <is>
          <t>Friedman, Jonathan</t>
        </is>
      </c>
      <c r="B1575" t="inlineStr">
        <is>
          <t>Sierra Leone</t>
        </is>
      </c>
      <c r="C1575" t="inlineStr">
        <is>
          <t>SIL03</t>
        </is>
      </c>
      <c r="D1575" t="n">
        <v>0.5</v>
      </c>
      <c r="E1575" t="inlineStr">
        <is>
          <t>AI/ML Lead</t>
        </is>
      </c>
      <c r="F1575">
        <f>SUMIF($A$2:$A$1594,A1575,$D$2:$D$1594)</f>
        <v/>
      </c>
    </row>
    <row r="1576">
      <c r="A1576" t="inlineStr">
        <is>
          <t>Mavyuva, Boniface</t>
        </is>
      </c>
      <c r="B1576" t="inlineStr">
        <is>
          <t>Sierra Leone</t>
        </is>
      </c>
      <c r="C1576" t="inlineStr">
        <is>
          <t>SIL01</t>
        </is>
      </c>
      <c r="D1576" t="n">
        <v>1</v>
      </c>
      <c r="E1576" t="inlineStr">
        <is>
          <t>Dig Infrastructure Lead</t>
        </is>
      </c>
      <c r="F1576">
        <f>SUMIF($A$2:$A$1594,A1576,$D$2:$D$1594)</f>
        <v/>
      </c>
    </row>
    <row r="1577">
      <c r="A1577" t="inlineStr">
        <is>
          <t>Showalter, Caitlin</t>
        </is>
      </c>
      <c r="B1577" t="inlineStr">
        <is>
          <t>Sierra Leone</t>
        </is>
      </c>
      <c r="C1577" t="inlineStr">
        <is>
          <t>SIL01</t>
        </is>
      </c>
      <c r="D1577" t="n">
        <v>0.5</v>
      </c>
      <c r="E1577" t="inlineStr">
        <is>
          <t>M&amp;E and Learning</t>
        </is>
      </c>
      <c r="F1577">
        <f>SUMIF($A$2:$A$1594,A1577,$D$2:$D$1594)</f>
        <v/>
      </c>
    </row>
    <row r="1578">
      <c r="A1578" t="inlineStr">
        <is>
          <t>Showalter, Caitlin</t>
        </is>
      </c>
      <c r="B1578" t="inlineStr">
        <is>
          <t>Sierra Leone</t>
        </is>
      </c>
      <c r="C1578" t="inlineStr">
        <is>
          <t>SIL02</t>
        </is>
      </c>
      <c r="D1578" t="n">
        <v>1</v>
      </c>
      <c r="E1578" t="inlineStr">
        <is>
          <t>M&amp;E and Learning</t>
        </is>
      </c>
      <c r="F1578">
        <f>SUMIF($A$2:$A$1594,A1578,$D$2:$D$1594)</f>
        <v/>
      </c>
    </row>
    <row r="1579">
      <c r="A1579" t="inlineStr">
        <is>
          <t>Showalter, Caitlin</t>
        </is>
      </c>
      <c r="B1579" t="inlineStr">
        <is>
          <t>Sierra Leone</t>
        </is>
      </c>
      <c r="C1579" t="inlineStr">
        <is>
          <t>SIL03</t>
        </is>
      </c>
      <c r="D1579" t="n">
        <v>0.5</v>
      </c>
      <c r="E1579" t="inlineStr">
        <is>
          <t>M&amp;E and Learning</t>
        </is>
      </c>
      <c r="F1579">
        <f>SUMIF($A$2:$A$1594,A1579,$D$2:$D$1594)</f>
        <v/>
      </c>
    </row>
    <row r="1580">
      <c r="A1580" t="inlineStr">
        <is>
          <t>Miranda Rondon de Ro, Ing</t>
        </is>
      </c>
      <c r="B1580" t="inlineStr">
        <is>
          <t>Sierra Leone</t>
        </is>
      </c>
      <c r="C1580" t="inlineStr">
        <is>
          <t>SIL01</t>
        </is>
      </c>
      <c r="D1580" t="n">
        <v>0.5</v>
      </c>
      <c r="E1580" t="inlineStr">
        <is>
          <t>M&amp;E and Learning</t>
        </is>
      </c>
      <c r="F1580">
        <f>SUMIF($A$2:$A$1594,A1580,$D$2:$D$1594)</f>
        <v/>
      </c>
    </row>
    <row r="1581">
      <c r="A1581" t="inlineStr">
        <is>
          <t>Miranda Rondon de Ro, Ing</t>
        </is>
      </c>
      <c r="B1581" t="inlineStr">
        <is>
          <t>Sierra Leone</t>
        </is>
      </c>
      <c r="C1581" t="inlineStr">
        <is>
          <t>SIL02</t>
        </is>
      </c>
      <c r="D1581" t="n">
        <v>1</v>
      </c>
      <c r="E1581" t="inlineStr">
        <is>
          <t>M&amp;E and Learning</t>
        </is>
      </c>
      <c r="F1581">
        <f>SUMIF($A$2:$A$1594,A1581,$D$2:$D$1594)</f>
        <v/>
      </c>
    </row>
    <row r="1582">
      <c r="A1582" t="inlineStr">
        <is>
          <t>Miranda Rondon de Ro, Ing</t>
        </is>
      </c>
      <c r="B1582" t="inlineStr">
        <is>
          <t>Sierra Leone</t>
        </is>
      </c>
      <c r="C1582" t="inlineStr">
        <is>
          <t>SIL03</t>
        </is>
      </c>
      <c r="D1582" t="n">
        <v>0.5</v>
      </c>
      <c r="E1582" t="inlineStr">
        <is>
          <t>M&amp;E and Learning</t>
        </is>
      </c>
      <c r="F1582">
        <f>SUMIF($A$2:$A$1594,A1582,$D$2:$D$1594)</f>
        <v/>
      </c>
    </row>
    <row r="1583">
      <c r="A1583" t="inlineStr">
        <is>
          <t>Sakaguchi, Kevin</t>
        </is>
      </c>
      <c r="B1583" t="inlineStr">
        <is>
          <t>Sierra Leone</t>
        </is>
      </c>
      <c r="C1583" t="inlineStr">
        <is>
          <t>SIL01</t>
        </is>
      </c>
      <c r="D1583" t="n">
        <v>0.5</v>
      </c>
      <c r="E1583" t="inlineStr">
        <is>
          <t>M&amp;E and Learning</t>
        </is>
      </c>
      <c r="F1583">
        <f>SUMIF($A$2:$A$1594,A1583,$D$2:$D$1594)</f>
        <v/>
      </c>
    </row>
    <row r="1584">
      <c r="A1584" t="inlineStr">
        <is>
          <t>Sakaguchi, Kevin</t>
        </is>
      </c>
      <c r="B1584" t="inlineStr">
        <is>
          <t>Sierra Leone</t>
        </is>
      </c>
      <c r="C1584" t="inlineStr">
        <is>
          <t>SIL02</t>
        </is>
      </c>
      <c r="D1584" t="n">
        <v>1</v>
      </c>
      <c r="E1584" t="inlineStr">
        <is>
          <t>M&amp;E and Learning</t>
        </is>
      </c>
      <c r="F1584">
        <f>SUMIF($A$2:$A$1594,A1584,$D$2:$D$1594)</f>
        <v/>
      </c>
    </row>
    <row r="1585">
      <c r="A1585" t="inlineStr">
        <is>
          <t>Sakaguchi, Kevin</t>
        </is>
      </c>
      <c r="B1585" t="inlineStr">
        <is>
          <t>Sierra Leone</t>
        </is>
      </c>
      <c r="C1585" t="inlineStr">
        <is>
          <t>SIL03</t>
        </is>
      </c>
      <c r="D1585" t="n">
        <v>0.5</v>
      </c>
      <c r="E1585" t="inlineStr">
        <is>
          <t>M&amp;E and Learning</t>
        </is>
      </c>
      <c r="F1585">
        <f>SUMIF($A$2:$A$1594,A1585,$D$2:$D$1594)</f>
        <v/>
      </c>
    </row>
    <row r="1586">
      <c r="A1586" t="inlineStr">
        <is>
          <t>Claussen, Laurence</t>
        </is>
      </c>
      <c r="B1586" t="inlineStr">
        <is>
          <t>Sierra Leone</t>
        </is>
      </c>
      <c r="C1586" t="inlineStr">
        <is>
          <t>SIL01</t>
        </is>
      </c>
      <c r="D1586" t="n">
        <v>0.5</v>
      </c>
      <c r="E1586" t="inlineStr">
        <is>
          <t>Comms Manager</t>
        </is>
      </c>
      <c r="F1586">
        <f>SUMIF($A$2:$A$1594,A1586,$D$2:$D$1594)</f>
        <v/>
      </c>
    </row>
    <row r="1587">
      <c r="A1587" t="inlineStr">
        <is>
          <t>Claussen, Laurence</t>
        </is>
      </c>
      <c r="B1587" t="inlineStr">
        <is>
          <t>Sierra Leone</t>
        </is>
      </c>
      <c r="C1587" t="inlineStr">
        <is>
          <t>SIL02</t>
        </is>
      </c>
      <c r="D1587" t="n">
        <v>0.5</v>
      </c>
      <c r="E1587" t="inlineStr">
        <is>
          <t>Comms Manager</t>
        </is>
      </c>
      <c r="F1587">
        <f>SUMIF($A$2:$A$1594,A1587,$D$2:$D$1594)</f>
        <v/>
      </c>
    </row>
    <row r="1588">
      <c r="A1588" t="inlineStr">
        <is>
          <t>Claussen, Laurence</t>
        </is>
      </c>
      <c r="B1588" t="inlineStr">
        <is>
          <t>Sierra Leone</t>
        </is>
      </c>
      <c r="C1588" t="inlineStr">
        <is>
          <t>SIL03</t>
        </is>
      </c>
      <c r="D1588" t="n">
        <v>0.5</v>
      </c>
      <c r="E1588" t="inlineStr">
        <is>
          <t>Comms Manager</t>
        </is>
      </c>
      <c r="F1588">
        <f>SUMIF($A$2:$A$1594,A1588,$D$2:$D$1594)</f>
        <v/>
      </c>
    </row>
    <row r="1589">
      <c r="A1589" t="inlineStr">
        <is>
          <t>Hunihan, Anne</t>
        </is>
      </c>
      <c r="B1589" t="inlineStr">
        <is>
          <t>Sierra Leone</t>
        </is>
      </c>
      <c r="C1589" t="inlineStr">
        <is>
          <t>SIL01</t>
        </is>
      </c>
      <c r="D1589" t="n">
        <v>2</v>
      </c>
      <c r="E1589" t="inlineStr">
        <is>
          <t>Associate Pool</t>
        </is>
      </c>
      <c r="F1589">
        <f>SUMIF($A$2:$A$1594,A1589,$D$2:$D$1594)</f>
        <v/>
      </c>
    </row>
    <row r="1590">
      <c r="A1590" t="inlineStr">
        <is>
          <t>Hunihan, Anne</t>
        </is>
      </c>
      <c r="B1590" t="inlineStr">
        <is>
          <t>Sierra Leone</t>
        </is>
      </c>
      <c r="C1590" t="inlineStr">
        <is>
          <t>SIL02</t>
        </is>
      </c>
      <c r="D1590" t="n">
        <v>2</v>
      </c>
      <c r="E1590" t="inlineStr">
        <is>
          <t>Associate Pool</t>
        </is>
      </c>
      <c r="F1590">
        <f>SUMIF($A$2:$A$1594,A1590,$D$2:$D$1594)</f>
        <v/>
      </c>
    </row>
    <row r="1591">
      <c r="A1591" t="inlineStr">
        <is>
          <t>Hunihan, Anne</t>
        </is>
      </c>
      <c r="B1591" t="inlineStr">
        <is>
          <t>Sierra Leone</t>
        </is>
      </c>
      <c r="C1591" t="inlineStr">
        <is>
          <t>SIL03</t>
        </is>
      </c>
      <c r="D1591" t="n">
        <v>1</v>
      </c>
      <c r="E1591" t="inlineStr">
        <is>
          <t>Associate Pool</t>
        </is>
      </c>
      <c r="F1591">
        <f>SUMIF($A$2:$A$1594,A1591,$D$2:$D$1594)</f>
        <v/>
      </c>
    </row>
    <row r="1592">
      <c r="A1592" t="inlineStr">
        <is>
          <t>Nabeel, Shayan</t>
        </is>
      </c>
      <c r="B1592" t="inlineStr">
        <is>
          <t>Sierra Leone</t>
        </is>
      </c>
      <c r="C1592" t="inlineStr">
        <is>
          <t>SIL01</t>
        </is>
      </c>
      <c r="D1592" t="n">
        <v>2</v>
      </c>
      <c r="E1592" t="inlineStr">
        <is>
          <t>Operations Manager level - 16</t>
        </is>
      </c>
      <c r="F1592">
        <f>SUMIF($A$2:$A$1594,A1592,$D$2:$D$1594)</f>
        <v/>
      </c>
    </row>
    <row r="1593">
      <c r="A1593" t="inlineStr">
        <is>
          <t>Nabeel, Shayan</t>
        </is>
      </c>
      <c r="B1593" t="inlineStr">
        <is>
          <t>Sierra Leone</t>
        </is>
      </c>
      <c r="C1593" t="inlineStr">
        <is>
          <t>SIL02</t>
        </is>
      </c>
      <c r="D1593" t="n">
        <v>2</v>
      </c>
      <c r="E1593" t="inlineStr">
        <is>
          <t>Operations Manager level - 16</t>
        </is>
      </c>
      <c r="F1593">
        <f>SUMIF($A$2:$A$1594,A1593,$D$2:$D$1594)</f>
        <v/>
      </c>
    </row>
    <row r="1594">
      <c r="A1594" t="inlineStr">
        <is>
          <t>Nabeel, Shayan</t>
        </is>
      </c>
      <c r="B1594" t="inlineStr">
        <is>
          <t>Sierra Leone</t>
        </is>
      </c>
      <c r="C1594" t="inlineStr">
        <is>
          <t>SIL03</t>
        </is>
      </c>
      <c r="D1594" t="n">
        <v>1</v>
      </c>
      <c r="E1594" t="inlineStr">
        <is>
          <t>Operations Manager level - 16</t>
        </is>
      </c>
      <c r="F1594">
        <f>SUMIF($A$2:$A$1594,A1594,$D$2:$D$1594)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</cols>
  <sheetData>
    <row r="1">
      <c r="A1" t="inlineStr">
        <is>
          <t>Person</t>
        </is>
      </c>
      <c r="B1" t="inlineStr">
        <is>
          <t>Total LOE (days)</t>
        </is>
      </c>
      <c r="C1" t="inlineStr">
        <is>
          <t># Budgets</t>
        </is>
      </c>
    </row>
    <row r="2">
      <c r="A2" t="inlineStr">
        <is>
          <t>Mahoro, Virgile</t>
        </is>
      </c>
      <c r="B2" t="n">
        <v>260</v>
      </c>
      <c r="C2" t="n">
        <v>4</v>
      </c>
    </row>
    <row r="3">
      <c r="A3" t="inlineStr">
        <is>
          <t>Cisse, Carol</t>
        </is>
      </c>
      <c r="B3" t="n">
        <v>260</v>
      </c>
      <c r="C3" t="n">
        <v>2</v>
      </c>
    </row>
    <row r="4">
      <c r="A4" t="inlineStr">
        <is>
          <t>Mawandia, Shreshth</t>
        </is>
      </c>
      <c r="B4" t="n">
        <v>254.54</v>
      </c>
      <c r="C4" t="n">
        <v>16</v>
      </c>
    </row>
    <row r="5">
      <c r="A5" t="inlineStr">
        <is>
          <t>Nigussie, Netsanet</t>
        </is>
      </c>
      <c r="B5" t="n">
        <v>252.54</v>
      </c>
      <c r="C5" t="n">
        <v>16</v>
      </c>
    </row>
    <row r="6">
      <c r="A6" t="inlineStr">
        <is>
          <t>Mavyuva, Boniface</t>
        </is>
      </c>
      <c r="B6" t="n">
        <v>237.83</v>
      </c>
      <c r="C6" t="n">
        <v>17</v>
      </c>
    </row>
    <row r="7">
      <c r="A7" t="inlineStr">
        <is>
          <t>Mathias, John</t>
        </is>
      </c>
      <c r="B7" t="n">
        <v>232.22</v>
      </c>
      <c r="C7" t="n">
        <v>19</v>
      </c>
    </row>
    <row r="8">
      <c r="A8" t="inlineStr">
        <is>
          <t>Misomali, Mark</t>
        </is>
      </c>
      <c r="B8" t="n">
        <v>232.22</v>
      </c>
      <c r="C8" t="n">
        <v>19</v>
      </c>
    </row>
    <row r="9">
      <c r="A9" t="inlineStr">
        <is>
          <t>Noorzai, Mahmood</t>
        </is>
      </c>
      <c r="B9" t="n">
        <v>232.22</v>
      </c>
      <c r="C9" t="n">
        <v>19</v>
      </c>
    </row>
    <row r="10">
      <c r="A10" t="inlineStr">
        <is>
          <t>Mensah, Margaret</t>
        </is>
      </c>
      <c r="B10" t="n">
        <v>230.87</v>
      </c>
      <c r="C10" t="n">
        <v>17</v>
      </c>
    </row>
    <row r="11">
      <c r="A11" t="inlineStr">
        <is>
          <t>Clanton, Kaley</t>
        </is>
      </c>
      <c r="B11" t="n">
        <v>230</v>
      </c>
      <c r="C11" t="n">
        <v>4</v>
      </c>
    </row>
    <row r="12">
      <c r="A12" t="inlineStr">
        <is>
          <t>Lopez, Brenda</t>
        </is>
      </c>
      <c r="B12" t="n">
        <v>230</v>
      </c>
      <c r="C12" t="n">
        <v>1</v>
      </c>
    </row>
    <row r="13">
      <c r="A13" t="inlineStr">
        <is>
          <t>Parker, Christine</t>
        </is>
      </c>
      <c r="B13" t="n">
        <v>230</v>
      </c>
      <c r="C13" t="n">
        <v>1</v>
      </c>
    </row>
    <row r="14">
      <c r="A14" t="inlineStr">
        <is>
          <t>Friedman, Jonathan</t>
        </is>
      </c>
      <c r="B14" t="n">
        <v>228.08</v>
      </c>
      <c r="C14" t="n">
        <v>17</v>
      </c>
    </row>
    <row r="15">
      <c r="A15" t="inlineStr">
        <is>
          <t>Loehr, Caitlin</t>
        </is>
      </c>
      <c r="B15" t="n">
        <v>227.78</v>
      </c>
      <c r="C15" t="n">
        <v>8</v>
      </c>
    </row>
    <row r="16">
      <c r="A16" t="inlineStr">
        <is>
          <t>Showalter, Caitlin</t>
        </is>
      </c>
      <c r="B16" t="n">
        <v>226.75</v>
      </c>
      <c r="C16" t="n">
        <v>20</v>
      </c>
    </row>
    <row r="17">
      <c r="A17" t="inlineStr">
        <is>
          <t>Claussen, Laurence</t>
        </is>
      </c>
      <c r="B17" t="n">
        <v>226.37</v>
      </c>
      <c r="C17" t="n">
        <v>20</v>
      </c>
    </row>
    <row r="18">
      <c r="A18" t="inlineStr">
        <is>
          <t>Miranda Rondon de Ro, Ing</t>
        </is>
      </c>
      <c r="B18" t="n">
        <v>226.15</v>
      </c>
      <c r="C18" t="n">
        <v>18</v>
      </c>
    </row>
    <row r="19">
      <c r="A19" t="inlineStr">
        <is>
          <t>Sakaguchi, Kevin</t>
        </is>
      </c>
      <c r="B19" t="n">
        <v>226.15</v>
      </c>
      <c r="C19" t="n">
        <v>18</v>
      </c>
    </row>
    <row r="20">
      <c r="A20" t="inlineStr">
        <is>
          <t>Saint Germain, Maya</t>
        </is>
      </c>
      <c r="B20" t="n">
        <v>224.85</v>
      </c>
      <c r="C20" t="n">
        <v>4</v>
      </c>
    </row>
    <row r="21">
      <c r="A21" t="inlineStr">
        <is>
          <t>DiVenanzo, Lauren</t>
        </is>
      </c>
      <c r="B21" t="n">
        <v>224.85</v>
      </c>
      <c r="C21" t="n">
        <v>4</v>
      </c>
    </row>
    <row r="22">
      <c r="A22" t="inlineStr">
        <is>
          <t>Bradford, Stephanie</t>
        </is>
      </c>
      <c r="B22" t="n">
        <v>217.27</v>
      </c>
      <c r="C22" t="n">
        <v>4</v>
      </c>
    </row>
    <row r="23">
      <c r="A23" t="inlineStr">
        <is>
          <t>Nabeel, Shayan</t>
        </is>
      </c>
      <c r="B23" t="n">
        <v>214.6</v>
      </c>
      <c r="C23" t="n">
        <v>7</v>
      </c>
    </row>
    <row r="24">
      <c r="A24" t="inlineStr">
        <is>
          <t>Manocher, Baktash</t>
        </is>
      </c>
      <c r="B24" t="n">
        <v>185</v>
      </c>
      <c r="C24" t="n">
        <v>3</v>
      </c>
    </row>
    <row r="25">
      <c r="A25" t="inlineStr">
        <is>
          <t>Judice, Nicole</t>
        </is>
      </c>
      <c r="B25" t="n">
        <v>177.53</v>
      </c>
      <c r="C25" t="n">
        <v>5</v>
      </c>
    </row>
    <row r="26">
      <c r="A26" t="inlineStr">
        <is>
          <t>Hunihan, Anne</t>
        </is>
      </c>
      <c r="B26" t="n">
        <v>173.25</v>
      </c>
      <c r="C26" t="n">
        <v>4</v>
      </c>
    </row>
    <row r="27">
      <c r="A27" t="inlineStr">
        <is>
          <t>Berihun, Tewodros</t>
        </is>
      </c>
      <c r="B27" t="n">
        <v>154.95</v>
      </c>
      <c r="C27" t="n">
        <v>4</v>
      </c>
    </row>
    <row r="28">
      <c r="A28" t="inlineStr">
        <is>
          <t>Miller, Brynn</t>
        </is>
      </c>
      <c r="B28" t="n">
        <v>119</v>
      </c>
      <c r="C28" t="n">
        <v>3</v>
      </c>
    </row>
    <row r="29">
      <c r="A29" t="inlineStr">
        <is>
          <t>Sharma, Suneeta</t>
        </is>
      </c>
      <c r="B29" t="n">
        <v>115.27</v>
      </c>
      <c r="C29" t="n">
        <v>5</v>
      </c>
    </row>
    <row r="30">
      <c r="A30" t="inlineStr">
        <is>
          <t>Vargas Monzon, Julio</t>
        </is>
      </c>
      <c r="B30" t="n">
        <v>95.15000000000001</v>
      </c>
      <c r="C30" t="n">
        <v>6</v>
      </c>
    </row>
    <row r="31">
      <c r="A31" t="inlineStr">
        <is>
          <t>Ogana, Nelson</t>
        </is>
      </c>
      <c r="B31" t="n">
        <v>82</v>
      </c>
      <c r="C31" t="n">
        <v>4</v>
      </c>
    </row>
    <row r="32">
      <c r="A32" t="inlineStr">
        <is>
          <t>Cavanaugh, Clint</t>
        </is>
      </c>
      <c r="B32" t="n">
        <v>51.06</v>
      </c>
      <c r="C32" t="n">
        <v>4</v>
      </c>
    </row>
    <row r="33">
      <c r="A33" t="inlineStr">
        <is>
          <t>Odhiambo, Jacob</t>
        </is>
      </c>
      <c r="B33" t="n">
        <v>25</v>
      </c>
      <c r="C33" t="n">
        <v>1</v>
      </c>
    </row>
    <row r="34">
      <c r="A34" t="inlineStr">
        <is>
          <t>Kasera, George</t>
        </is>
      </c>
      <c r="B34" t="n">
        <v>12</v>
      </c>
      <c r="C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8" customWidth="1" min="4" max="4"/>
    <col width="14" customWidth="1" min="5" max="5"/>
    <col width="12" customWidth="1" min="6" max="6"/>
  </cols>
  <sheetData>
    <row r="1">
      <c r="A1" t="inlineStr">
        <is>
          <t>Budget</t>
        </is>
      </c>
      <c r="B1" t="inlineStr">
        <is>
          <t>Source total-column days (excl. subtotal row)</t>
        </is>
      </c>
      <c r="C1" t="inlineStr">
        <is>
          <t>Excluded (TBD / unnamed)</t>
        </is>
      </c>
      <c r="D1" t="inlineStr">
        <is>
          <t>Expected in table</t>
        </is>
      </c>
      <c r="E1" t="inlineStr">
        <is>
          <t>Days in table</t>
        </is>
      </c>
      <c r="F1" t="inlineStr">
        <is>
          <t>Difference</t>
        </is>
      </c>
    </row>
    <row r="2">
      <c r="A2" t="inlineStr">
        <is>
          <t>Botswana</t>
        </is>
      </c>
      <c r="B2" t="n">
        <v>101</v>
      </c>
      <c r="C2" t="n">
        <v>31</v>
      </c>
      <c r="D2">
        <f>B2-C2</f>
        <v/>
      </c>
      <c r="E2">
        <f>SUMIF('LOE Table'!$B:$B,A2,'LOE Table'!$D:$D)</f>
        <v/>
      </c>
      <c r="F2">
        <f>ROUND(E2-D2,3)</f>
        <v/>
      </c>
    </row>
    <row r="3">
      <c r="A3" t="inlineStr">
        <is>
          <t>Burundi</t>
        </is>
      </c>
      <c r="B3" t="n">
        <v>363.92</v>
      </c>
      <c r="C3" t="n">
        <v>176.92</v>
      </c>
      <c r="D3">
        <f>B3-C3</f>
        <v/>
      </c>
      <c r="E3">
        <f>SUMIF('LOE Table'!$B:$B,A3,'LOE Table'!$D:$D)</f>
        <v/>
      </c>
      <c r="F3">
        <f>ROUND(E3-D3,3)</f>
        <v/>
      </c>
    </row>
    <row r="4">
      <c r="A4" t="inlineStr">
        <is>
          <t>CORE-EMR ECHIS</t>
        </is>
      </c>
      <c r="B4" t="n">
        <v>383.073</v>
      </c>
      <c r="C4" t="n">
        <v>109.093</v>
      </c>
      <c r="D4">
        <f>B4-C4</f>
        <v/>
      </c>
      <c r="E4">
        <f>SUMIF('LOE Table'!$B:$B,A4,'LOE Table'!$D:$D)</f>
        <v/>
      </c>
      <c r="F4">
        <f>ROUND(E4-D4,3)</f>
        <v/>
      </c>
    </row>
    <row r="5">
      <c r="A5" t="inlineStr">
        <is>
          <t>CORE-Ebola</t>
        </is>
      </c>
      <c r="B5" t="n">
        <v>1005</v>
      </c>
      <c r="C5" t="n">
        <v>318</v>
      </c>
      <c r="D5">
        <f>B5-C5</f>
        <v/>
      </c>
      <c r="E5">
        <f>SUMIF('LOE Table'!$B:$B,A5,'LOE Table'!$D:$D)</f>
        <v/>
      </c>
      <c r="F5">
        <f>ROUND(E5-D5,3)</f>
        <v/>
      </c>
    </row>
    <row r="6">
      <c r="A6" t="inlineStr">
        <is>
          <t>CORE G2G</t>
        </is>
      </c>
      <c r="B6" t="n">
        <v>89.139</v>
      </c>
      <c r="C6" t="n">
        <v>18.48</v>
      </c>
      <c r="D6">
        <f>B6-C6</f>
        <v/>
      </c>
      <c r="E6">
        <f>SUMIF('LOE Table'!$B:$B,A6,'LOE Table'!$D:$D)</f>
        <v/>
      </c>
      <c r="F6">
        <f>ROUND(E6-D6,3)</f>
        <v/>
      </c>
    </row>
    <row r="7">
      <c r="A7" t="inlineStr">
        <is>
          <t>CORE-HIC</t>
        </is>
      </c>
      <c r="B7" t="n">
        <v>677.465</v>
      </c>
      <c r="C7" t="n">
        <v>224.512</v>
      </c>
      <c r="D7">
        <f>B7-C7</f>
        <v/>
      </c>
      <c r="E7">
        <f>SUMIF('LOE Table'!$B:$B,A7,'LOE Table'!$D:$D)</f>
        <v/>
      </c>
      <c r="F7">
        <f>ROUND(E7-D7,3)</f>
        <v/>
      </c>
    </row>
    <row r="8">
      <c r="A8" t="inlineStr">
        <is>
          <t>CORE-Supply Chain</t>
        </is>
      </c>
      <c r="B8" t="n">
        <v>2300.686</v>
      </c>
      <c r="C8" t="n">
        <v>755.813</v>
      </c>
      <c r="D8">
        <f>B8-C8</f>
        <v/>
      </c>
      <c r="E8">
        <f>SUMIF('LOE Table'!$B:$B,A8,'LOE Table'!$D:$D)</f>
        <v/>
      </c>
      <c r="F8">
        <f>ROUND(E8-D8,3)</f>
        <v/>
      </c>
    </row>
    <row r="9">
      <c r="A9" t="inlineStr">
        <is>
          <t>DRC</t>
        </is>
      </c>
      <c r="B9" t="n">
        <v>948.389</v>
      </c>
      <c r="C9" t="n">
        <v>507.389</v>
      </c>
      <c r="D9">
        <f>B9-C9</f>
        <v/>
      </c>
      <c r="E9">
        <f>SUMIF('LOE Table'!$B:$B,A9,'LOE Table'!$D:$D)</f>
        <v/>
      </c>
      <c r="F9">
        <f>ROUND(E9-D9,3)</f>
        <v/>
      </c>
    </row>
    <row r="10">
      <c r="A10" t="inlineStr">
        <is>
          <t>El Salvador</t>
        </is>
      </c>
      <c r="B10" t="n">
        <v>403</v>
      </c>
      <c r="C10" t="n">
        <v>336</v>
      </c>
      <c r="D10">
        <f>B10-C10</f>
        <v/>
      </c>
      <c r="E10">
        <f>SUMIF('LOE Table'!$B:$B,A10,'LOE Table'!$D:$D)</f>
        <v/>
      </c>
      <c r="F10">
        <f>ROUND(E10-D10,3)</f>
        <v/>
      </c>
    </row>
    <row r="11">
      <c r="A11" t="inlineStr">
        <is>
          <t>Eswatini</t>
        </is>
      </c>
      <c r="B11" t="n">
        <v>210.429</v>
      </c>
      <c r="C11" t="n">
        <v>120.304</v>
      </c>
      <c r="D11">
        <f>B11-C11</f>
        <v/>
      </c>
      <c r="E11">
        <f>SUMIF('LOE Table'!$B:$B,A11,'LOE Table'!$D:$D)</f>
        <v/>
      </c>
      <c r="F11">
        <f>ROUND(E11-D11,3)</f>
        <v/>
      </c>
    </row>
    <row r="12">
      <c r="A12" t="inlineStr">
        <is>
          <t>Ethiopia</t>
        </is>
      </c>
      <c r="B12" t="n">
        <v>1822.22</v>
      </c>
      <c r="C12" t="n">
        <v>620.22</v>
      </c>
      <c r="D12">
        <f>B12-C12</f>
        <v/>
      </c>
      <c r="E12">
        <f>SUMIF('LOE Table'!$B:$B,A12,'LOE Table'!$D:$D)</f>
        <v/>
      </c>
      <c r="F12">
        <f>ROUND(E12-D12,3)</f>
        <v/>
      </c>
    </row>
    <row r="13">
      <c r="A13" t="inlineStr">
        <is>
          <t>Honduras</t>
        </is>
      </c>
      <c r="B13" t="n">
        <v>351.58</v>
      </c>
      <c r="C13" t="n">
        <v>273.58</v>
      </c>
      <c r="D13">
        <f>B13-C13</f>
        <v/>
      </c>
      <c r="E13">
        <f>SUMIF('LOE Table'!$B:$B,A13,'LOE Table'!$D:$D)</f>
        <v/>
      </c>
      <c r="F13">
        <f>ROUND(E13-D13,3)</f>
        <v/>
      </c>
    </row>
    <row r="14">
      <c r="A14" t="inlineStr">
        <is>
          <t>Kenya</t>
        </is>
      </c>
      <c r="B14" t="n">
        <v>714.319</v>
      </c>
      <c r="C14" t="n">
        <v>403.319</v>
      </c>
      <c r="D14">
        <f>B14-C14</f>
        <v/>
      </c>
      <c r="E14">
        <f>SUMIF('LOE Table'!$B:$B,A14,'LOE Table'!$D:$D)</f>
        <v/>
      </c>
      <c r="F14">
        <f>ROUND(E14-D14,3)</f>
        <v/>
      </c>
    </row>
    <row r="15">
      <c r="A15" t="inlineStr">
        <is>
          <t>Lesotho</t>
        </is>
      </c>
      <c r="B15" t="n">
        <v>249.742</v>
      </c>
      <c r="C15" t="n">
        <v>107.742</v>
      </c>
      <c r="D15">
        <f>B15-C15</f>
        <v/>
      </c>
      <c r="E15">
        <f>SUMIF('LOE Table'!$B:$B,A15,'LOE Table'!$D:$D)</f>
        <v/>
      </c>
      <c r="F15">
        <f>ROUND(E15-D15,3)</f>
        <v/>
      </c>
    </row>
    <row r="16">
      <c r="A16" t="inlineStr">
        <is>
          <t>Madagascar</t>
        </is>
      </c>
      <c r="B16" t="n">
        <v>410.72</v>
      </c>
      <c r="C16" t="n">
        <v>220.22</v>
      </c>
      <c r="D16">
        <f>B16-C16</f>
        <v/>
      </c>
      <c r="E16">
        <f>SUMIF('LOE Table'!$B:$B,A16,'LOE Table'!$D:$D)</f>
        <v/>
      </c>
      <c r="F16">
        <f>ROUND(E16-D16,3)</f>
        <v/>
      </c>
    </row>
    <row r="17">
      <c r="A17" t="inlineStr">
        <is>
          <t>Moldova</t>
        </is>
      </c>
      <c r="B17" t="n">
        <v>80.23</v>
      </c>
      <c r="C17" t="n">
        <v>41.23</v>
      </c>
      <c r="D17">
        <f>B17-C17</f>
        <v/>
      </c>
      <c r="E17">
        <f>SUMIF('LOE Table'!$B:$B,A17,'LOE Table'!$D:$D)</f>
        <v/>
      </c>
      <c r="F17">
        <f>ROUND(E17-D17,3)</f>
        <v/>
      </c>
    </row>
    <row r="18">
      <c r="A18" t="inlineStr">
        <is>
          <t>Namibia</t>
        </is>
      </c>
      <c r="B18" t="n">
        <v>748.3200000000001</v>
      </c>
      <c r="C18" t="n">
        <v>469.32</v>
      </c>
      <c r="D18">
        <f>B18-C18</f>
        <v/>
      </c>
      <c r="E18">
        <f>SUMIF('LOE Table'!$B:$B,A18,'LOE Table'!$D:$D)</f>
        <v/>
      </c>
      <c r="F18">
        <f>ROUND(E18-D18,3)</f>
        <v/>
      </c>
    </row>
    <row r="19">
      <c r="A19" t="inlineStr">
        <is>
          <t>Niger</t>
        </is>
      </c>
      <c r="B19" t="n">
        <v>263.79</v>
      </c>
      <c r="C19" t="n">
        <v>203.79</v>
      </c>
      <c r="D19">
        <f>B19-C19</f>
        <v/>
      </c>
      <c r="E19">
        <f>SUMIF('LOE Table'!$B:$B,A19,'LOE Table'!$D:$D)</f>
        <v/>
      </c>
      <c r="F19">
        <f>ROUND(E19-D19,3)</f>
        <v/>
      </c>
    </row>
    <row r="20">
      <c r="A20" t="inlineStr">
        <is>
          <t>Nigeria</t>
        </is>
      </c>
      <c r="B20" t="n">
        <v>99.8</v>
      </c>
      <c r="C20" t="n">
        <v>16.8</v>
      </c>
      <c r="D20">
        <f>B20-C20</f>
        <v/>
      </c>
      <c r="E20">
        <f>SUMIF('LOE Table'!$B:$B,A20,'LOE Table'!$D:$D)</f>
        <v/>
      </c>
      <c r="F20">
        <f>ROUND(E20-D20,3)</f>
        <v/>
      </c>
    </row>
    <row r="21">
      <c r="A21" t="inlineStr">
        <is>
          <t>Sierra Leone</t>
        </is>
      </c>
      <c r="B21" t="n">
        <v>72.066</v>
      </c>
      <c r="C21" t="n">
        <v>25.636</v>
      </c>
      <c r="D21">
        <f>B21-C21</f>
        <v/>
      </c>
      <c r="E21">
        <f>SUMIF('LOE Table'!$B:$B,A21,'LOE Table'!$D:$D)</f>
        <v/>
      </c>
      <c r="F21">
        <f>ROUND(E21-D21,3)</f>
        <v/>
      </c>
    </row>
    <row r="22">
      <c r="A22" t="inlineStr">
        <is>
          <t>TOTAL</t>
        </is>
      </c>
      <c r="B22">
        <f>SUM(B2:B21)</f>
        <v/>
      </c>
      <c r="C22">
        <f>SUM(C2:C21)</f>
        <v/>
      </c>
      <c r="D22">
        <f>SUM(D2:D21)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Source</t>
        </is>
      </c>
      <c r="B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2026-10-13T22:08:25Z</dcterms:created>
  <dcterms:modified xmlns:dcterms="http://purl.org/dc/terms/" xmlns:xsi="http://www.w3.org/2001/XMLSchema-instance" xsi:type="dcterms:W3CDTF">2026-10-13T22:08:26Z</dcterms:modified>
</cp:coreProperties>
</file>